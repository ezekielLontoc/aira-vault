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s\Projects\IT Policy\2026 PPG\BFS - ISMS - Consolidated\"/>
    </mc:Choice>
  </mc:AlternateContent>
  <bookViews>
    <workbookView xWindow="0" yWindow="0" windowWidth="19200" windowHeight="11595" tabRatio="500" activeTab="1"/>
  </bookViews>
  <sheets>
    <sheet name="Cover" sheetId="1" r:id="rId1"/>
    <sheet name="SoA Register" sheetId="2" r:id="rId2"/>
    <sheet name="Dashboard" sheetId="3" r:id="rId3"/>
    <sheet name="Coverage Analysis" sheetId="4" r:id="rId4"/>
    <sheet name="Audit Trail" sheetId="5" r:id="rId5"/>
    <sheet name="Reference &amp; Schema" sheetId="6" r:id="rId6"/>
  </sheet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E25" i="3" l="1"/>
  <c r="D25" i="3"/>
  <c r="C25" i="3"/>
  <c r="B25" i="3"/>
  <c r="F25" i="3" s="1"/>
  <c r="E24" i="3"/>
  <c r="D24" i="3"/>
  <c r="C24" i="3"/>
  <c r="B24" i="3"/>
  <c r="F24" i="3" s="1"/>
  <c r="E23" i="3"/>
  <c r="D23" i="3"/>
  <c r="C23" i="3"/>
  <c r="B23" i="3"/>
  <c r="F23" i="3" s="1"/>
  <c r="E22" i="3"/>
  <c r="E26" i="3" s="1"/>
  <c r="D22" i="3"/>
  <c r="D26" i="3" s="1"/>
  <c r="C22" i="3"/>
  <c r="C26" i="3" s="1"/>
  <c r="B22" i="3"/>
  <c r="B26" i="3" s="1"/>
  <c r="G17" i="3"/>
  <c r="H17" i="3" s="1"/>
  <c r="H16" i="3"/>
  <c r="G16" i="3"/>
  <c r="G15" i="3"/>
  <c r="H15" i="3" s="1"/>
  <c r="C15" i="3"/>
  <c r="B15" i="3"/>
  <c r="G14" i="3"/>
  <c r="H14" i="3" s="1"/>
  <c r="C14" i="3"/>
  <c r="B14" i="3"/>
  <c r="H8" i="3"/>
  <c r="G8" i="3"/>
  <c r="B8" i="3"/>
  <c r="C8" i="3" s="1"/>
  <c r="H7" i="3"/>
  <c r="G7" i="3"/>
  <c r="B7" i="3"/>
  <c r="C7" i="3" s="1"/>
  <c r="H6" i="3"/>
  <c r="G6" i="3"/>
  <c r="B6" i="3"/>
  <c r="C6" i="3" s="1"/>
  <c r="H5" i="3"/>
  <c r="G5" i="3"/>
  <c r="G9" i="3" s="1"/>
  <c r="B5" i="3"/>
  <c r="C5" i="3" s="1"/>
  <c r="B9" i="3" l="1"/>
  <c r="F22" i="3"/>
  <c r="F26" i="3" s="1"/>
</calcChain>
</file>

<file path=xl/sharedStrings.xml><?xml version="1.0" encoding="utf-8"?>
<sst xmlns="http://schemas.openxmlformats.org/spreadsheetml/2006/main" count="2698" uniqueCount="1018">
  <si>
    <t>BFS INFORMATION SECURITY MANAGEMENT SYSTEM</t>
  </si>
  <si>
    <t>STATEMENT OF APPLICABILITY
WORKING REGISTER</t>
  </si>
  <si>
    <t>Operational Companion to BFS-ISMS-004 Statement of Applicability
ISO/IEC 27001:2022 Annex A — All 93 Controls
Clause 6.1.3(d) Documented Information</t>
  </si>
  <si>
    <t>Reference</t>
  </si>
  <si>
    <t>BFS-ISMS-004-WR (Working Register)</t>
  </si>
  <si>
    <t>Authoritative Document</t>
  </si>
  <si>
    <t>BFS-ISMS-004 Statement of Applicability (.docx)</t>
  </si>
  <si>
    <t>Relationship to Authoritative</t>
  </si>
  <si>
    <t>Operational tracking artifact derived from BFS-ISMS-004. The .docx is the source of truth for applicability decisions and justifications. This Working Register adds operational columns for evidence tracking, effectiveness measurement, and cross-mapping.</t>
  </si>
  <si>
    <t>Version</t>
  </si>
  <si>
    <t>1.0</t>
  </si>
  <si>
    <t>Classification</t>
  </si>
  <si>
    <t>CONFIDENTIAL — Authorized Internal and Audit Use Only</t>
  </si>
  <si>
    <t>Effective Date</t>
  </si>
  <si>
    <t>Annual Review</t>
  </si>
  <si>
    <t>April 2026 + material triggers</t>
  </si>
  <si>
    <t>Framework</t>
  </si>
  <si>
    <t>ISO/IEC 27001:2022 Annex A (93 controls); ISO/IEC 27002:2022 (control attributes)</t>
  </si>
  <si>
    <t>Operational Updates</t>
  </si>
  <si>
    <t>Continuous (evidence dates, verifications, effectiveness)</t>
  </si>
  <si>
    <t>Annual Updates</t>
  </si>
  <si>
    <t>Consolidated into next BFS-ISMS-004 .docx version</t>
  </si>
  <si>
    <t>Material Updates</t>
  </si>
  <si>
    <t>Applicability changes require formal approval before propagating to BFS-ISMS-004</t>
  </si>
  <si>
    <t>Owner</t>
  </si>
  <si>
    <t>Chief Information Security Officer</t>
  </si>
  <si>
    <t>Maintainer</t>
  </si>
  <si>
    <t>CISO Office / Risk Management Team</t>
  </si>
  <si>
    <t>Total Controls</t>
  </si>
  <si>
    <t>93 (A.5: 37 / A.6: 8 / A.7: 14 / A.8: 34)</t>
  </si>
  <si>
    <t>Applicable Controls</t>
  </si>
  <si>
    <t>93</t>
  </si>
  <si>
    <t>Not Applicable Controls</t>
  </si>
  <si>
    <t>0</t>
  </si>
  <si>
    <t>Approval</t>
  </si>
  <si>
    <t>CISO + CIO + CRO + Board Audit &amp; Risk Committee</t>
  </si>
  <si>
    <t>© BFS Financial Services. CONFIDENTIAL — For Internal, Audit, and Regulatory Examination Use Only.</t>
  </si>
  <si>
    <t>BFS-ISMS-004 STATEMENT OF APPLICABILITY — OPERATIONAL WORKING REGISTER  |  CONFIDENTIAL  |  All 93 ISO 27001:2022 Annex A Controls</t>
  </si>
  <si>
    <t>Ctrl ID</t>
  </si>
  <si>
    <t>Control Title</t>
  </si>
  <si>
    <t>Applicable?</t>
  </si>
  <si>
    <t>Justification &amp; BFS Implementation Context</t>
  </si>
  <si>
    <t>Primary Implementation Reference</t>
  </si>
  <si>
    <t>Control Theme</t>
  </si>
  <si>
    <t>Control Type</t>
  </si>
  <si>
    <t>Information Security Properties (CIA)</t>
  </si>
  <si>
    <t>Cybersecurity Concept (NIST CSF)</t>
  </si>
  <si>
    <t>Operational Capability</t>
  </si>
  <si>
    <t>Security Domain</t>
  </si>
  <si>
    <t>Implementation Status</t>
  </si>
  <si>
    <t>Maturity Level (1-5)</t>
  </si>
  <si>
    <t>Implementation Date</t>
  </si>
  <si>
    <t>Target Date (Planned/Partial)</t>
  </si>
  <si>
    <t>Control Owner (Named)</t>
  </si>
  <si>
    <t>Control Operator (Function)</t>
  </si>
  <si>
    <t>Approver (Last Approval)</t>
  </si>
  <si>
    <t>Primary Evidence Type</t>
  </si>
  <si>
    <t>Evidence Location</t>
  </si>
  <si>
    <t>Last Verification Date</t>
  </si>
  <si>
    <t>Verification Method</t>
  </si>
  <si>
    <t>Verifier</t>
  </si>
  <si>
    <t>Last Audit Date</t>
  </si>
  <si>
    <t>Open Audit Findings</t>
  </si>
  <si>
    <t>Risks Mitigated (Risk IDs)</t>
  </si>
  <si>
    <t>Control Effectiveness</t>
  </si>
  <si>
    <t>Compensating Controls</t>
  </si>
  <si>
    <t>BSP Circular Reference</t>
  </si>
  <si>
    <t>PCI DSS v4.0 Reference</t>
  </si>
  <si>
    <t>RA 10173 Reference</t>
  </si>
  <si>
    <t>NIST CSF 2.0 Reference</t>
  </si>
  <si>
    <t>Other Standards</t>
  </si>
  <si>
    <t>Last Reviewed Date</t>
  </si>
  <si>
    <t>Next Review Date</t>
  </si>
  <si>
    <t>Review Cycle</t>
  </si>
  <si>
    <t>Change History</t>
  </si>
  <si>
    <t>Implementation Notes</t>
  </si>
  <si>
    <t>Auditor Notes</t>
  </si>
  <si>
    <t>Remarks</t>
  </si>
  <si>
    <t>A.5.1</t>
  </si>
  <si>
    <t>Policies for information security</t>
  </si>
  <si>
    <t>Applicable</t>
  </si>
  <si>
    <t>Foundational requirement for any ISMS. BFS maintains a comprehensive policy hierarchy: TIER 1 Top-Level Policy (BFS-ISMS-001), TIER 2 ISMS framework documents (BFS-ISMS-002 through BFS-ISMS-010), TIER 2 technical control policies (BFS-ISP-001 through BFS-ISP-029). Policies are reviewed annually and approved at appropriate authority levels.</t>
  </si>
  <si>
    <t>BFS-ISMS-001 (Top-Level Policy) + entire BFS-ISP series</t>
  </si>
  <si>
    <t>A.5 Organizational</t>
  </si>
  <si>
    <t>Preventive</t>
  </si>
  <si>
    <t>Confidentiality, Integrity, Availability</t>
  </si>
  <si>
    <t>IDENTIFY, PROTECT</t>
  </si>
  <si>
    <t>Governance</t>
  </si>
  <si>
    <t>Governance and Ecosystem, Resilience</t>
  </si>
  <si>
    <t>Implemented</t>
  </si>
  <si>
    <t>CISO</t>
  </si>
  <si>
    <t>CISO + CIO (per Mgmt Review)</t>
  </si>
  <si>
    <t>BFS-RISK-2025-0022</t>
  </si>
  <si>
    <t>TBD</t>
  </si>
  <si>
    <t>Circular 1140 §III</t>
  </si>
  <si>
    <t>Req 12.1</t>
  </si>
  <si>
    <t>GV.PO-01,02</t>
  </si>
  <si>
    <t>Annual</t>
  </si>
  <si>
    <t>A.5.2</t>
  </si>
  <si>
    <t>Information security roles and responsibilities</t>
  </si>
  <si>
    <t>Roles and responsibilities defined at three governance tiers (Strategic/Executive/Operational) per BFS-ISMS-001 Section 5. Each subordinate BFS-ISP policy defines control-specific roles. Independent reporting lines preserved for CISO, DPO, and Internal Audit.</t>
  </si>
  <si>
    <t>BFS-ISMS-001 §5; all BFS-ISP roles sections</t>
  </si>
  <si>
    <t>IDENTIFY</t>
  </si>
  <si>
    <t>Governance and Ecosystem</t>
  </si>
  <si>
    <t>Circular 1140 §III; Circular 1048 §3.1</t>
  </si>
  <si>
    <t>Req 12.4</t>
  </si>
  <si>
    <t>GV.RR-01,02,03</t>
  </si>
  <si>
    <t>A.5.3</t>
  </si>
  <si>
    <t>Segregation of duties</t>
  </si>
  <si>
    <t>Critical control for a financial institution to prevent fraud, error, and unauthorized actions. SoD requirements apply to financial transactions, IT operations, security operations, and access governance. Privileged access governance per BFS-ISP-005 enforces SoD principles.</t>
  </si>
  <si>
    <t>BFS-ISP-025 (forthcoming); BFS-ISP-005; BFS-ISP-006</t>
  </si>
  <si>
    <t>PROTECT</t>
  </si>
  <si>
    <t>Partially Implemented</t>
  </si>
  <si>
    <t>CISO + CRO</t>
  </si>
  <si>
    <t>See Implementation Notes</t>
  </si>
  <si>
    <t>Req 6.4.4</t>
  </si>
  <si>
    <t>GV.RR-02; PR.AA-05</t>
  </si>
  <si>
    <t>A.5.4</t>
  </si>
  <si>
    <t>Management responsibilities</t>
  </si>
  <si>
    <t>Management at all levels is accountable for compliance with BFS information security policies within their span of control. Reflected in BFS-ISMS-001 governance structure, executive accountability matrix, and business unit head responsibilities defined throughout the BFS-ISP series.</t>
  </si>
  <si>
    <t>BFS-ISMS-001 §5 and §7</t>
  </si>
  <si>
    <t>CISO + CHRO</t>
  </si>
  <si>
    <t>GV.OC-02,03</t>
  </si>
  <si>
    <t>A.5.5</t>
  </si>
  <si>
    <t>Contact with authorities</t>
  </si>
  <si>
    <t>BFS maintains documented contact with BSP, NPC, SEC, AMLC, NBI Cybercrime Division, and PNP-ACG. Specific notification timelines and procedures are operationalized in BFS-ISP-017 (Incident Response) — BSP within 2 hours for cybersecurity incidents, NPC within 72 hours for personal data breaches.</t>
  </si>
  <si>
    <t>BFS-ISP-017 §5.9; CCO + Legal coordination</t>
  </si>
  <si>
    <t>CISO + CRO + DPO + CCO</t>
  </si>
  <si>
    <t>Circular 1140 §IV</t>
  </si>
  <si>
    <t>RA 10173 §16</t>
  </si>
  <si>
    <t>GV.SC-01,02</t>
  </si>
  <si>
    <t>A.5.6</t>
  </si>
  <si>
    <t>Contact with special interest groups</t>
  </si>
  <si>
    <t>BFS participates in sector information sharing through BSP-ISAC and FS-ISAC channels. Industry threat intelligence and lessons learned shape ISMS evolution. Membership in security professional bodies maintained for CISO Office personnel.</t>
  </si>
  <si>
    <t>BFS-ISP-013 (threat intel); CISO Office</t>
  </si>
  <si>
    <t>PROTECT, DETECT, RESPOND</t>
  </si>
  <si>
    <t>Defence</t>
  </si>
  <si>
    <t>CISO + CCO</t>
  </si>
  <si>
    <t>BFS-RISK-2025-0001,0002,0006</t>
  </si>
  <si>
    <t>Circular 1140 §V; FS-ISAC</t>
  </si>
  <si>
    <t>GV.SC; ID.RA-02,03</t>
  </si>
  <si>
    <t>A.5.7</t>
  </si>
  <si>
    <t>Threat intelligence</t>
  </si>
  <si>
    <t>Active threat intelligence program collecting, analyzing, and disseminating threat information from open-source feeds, commercial subscriptions, sector ISACs, BSP/NPC advisories, and MITRE ATT&amp;CK Framework. Threat intelligence drives detection rule development and Purple Team exercise priorities.</t>
  </si>
  <si>
    <t>BFS-ISP-013 §5.4; BFS-ISP-018 (Purple Team)</t>
  </si>
  <si>
    <t>Preventive / Detective</t>
  </si>
  <si>
    <t>IDENTIFY, DETECT, RESPOND</t>
  </si>
  <si>
    <t>Threat and vulnerability management</t>
  </si>
  <si>
    <t>Defence, Resilience</t>
  </si>
  <si>
    <t>CISO + Head of IT Security</t>
  </si>
  <si>
    <t>BFS-RISK-2025-0001,0002,0006,0029,0030</t>
  </si>
  <si>
    <t>Circular 1048 §3.4</t>
  </si>
  <si>
    <t>Req 6.3.3</t>
  </si>
  <si>
    <t>NPC advisories</t>
  </si>
  <si>
    <t>ID.RA-02,03; DE.AE-07</t>
  </si>
  <si>
    <t>A.5.8</t>
  </si>
  <si>
    <t>Information security in project management</t>
  </si>
  <si>
    <t>Security must be integrated into all BFS projects from inception, not retrofitted. SSDLC governance per BFS-ISP-016 covers application projects. The forthcoming BFS-ISP-027 will provide broader project management security framework covering non-application projects.</t>
  </si>
  <si>
    <t>BFS-ISP-016 (SSDLC); BFS-ISP-027 (forthcoming)</t>
  </si>
  <si>
    <t>Governance and Ecosystem, Protection</t>
  </si>
  <si>
    <t>CISO + Head of PMO</t>
  </si>
  <si>
    <t>BFS-RISK-2025-0026</t>
  </si>
  <si>
    <t>GV.SC-05; ID.RA-09</t>
  </si>
  <si>
    <t>A.5.9</t>
  </si>
  <si>
    <t>Inventory of information and other associated assets</t>
  </si>
  <si>
    <t>Foundational asset inventory is implemented through BFS-ISP-001 (Enterprise Asset Inventory) covering hardware, infrastructure, and physical assets, and BFS-ISP-002 (Software Asset Inventory) covering all software including SaaS, libraries, containers, and AI/ML models. Inventories are continuously maintained.</t>
  </si>
  <si>
    <t>BFS-ISP-001; BFS-ISP-002; BFS-ISP-016 (Application Inventory)</t>
  </si>
  <si>
    <t>Asset management</t>
  </si>
  <si>
    <t>CIO + CISO</t>
  </si>
  <si>
    <t>BFS-RISK-2025-0011,0043</t>
  </si>
  <si>
    <t>Req 9.5</t>
  </si>
  <si>
    <t>ID.AM-01,02,03,04,05</t>
  </si>
  <si>
    <t>A.5.10</t>
  </si>
  <si>
    <t>Acceptable use of information and other associated assets</t>
  </si>
  <si>
    <t>Acceptable use rules govern how BFS personnel use BFS-issued devices, networks, applications, and information assets. Currently addressed through fragmented references in multiple BFS-ISP policies; consolidated comprehensive Acceptable Use Policy is the highest-priority gap closure.</t>
  </si>
  <si>
    <t>BFS-ISP-020 (forthcoming); references in BFS-ISP-009, BFS-ISP-014</t>
  </si>
  <si>
    <t>Asset management, Information protection</t>
  </si>
  <si>
    <t>Planned</t>
  </si>
  <si>
    <t>CISO + DPO</t>
  </si>
  <si>
    <t>BFS-RISK-2025-0009,0011,0029,0030</t>
  </si>
  <si>
    <t>Circular 1140 §V.D</t>
  </si>
  <si>
    <t>Req 7.1; 9.4</t>
  </si>
  <si>
    <t>RA 10173 §11</t>
  </si>
  <si>
    <t>GV.PO-01; PR.DS-01</t>
  </si>
  <si>
    <t>A.5.11</t>
  </si>
  <si>
    <t>Return of assets</t>
  </si>
  <si>
    <t>Returning BFS assets at the end of employment, contract, or assignment is a foundational HR security control. To be addressed comprehensively in the forthcoming BFS-ISP-021 (HR Security Policy) covering pre-employment, during employment, and termination/change phases.</t>
  </si>
  <si>
    <t>BFS-ISP-021 (forthcoming)</t>
  </si>
  <si>
    <t>Protection</t>
  </si>
  <si>
    <t>CIO + CISO + CHRO</t>
  </si>
  <si>
    <t>BFS-RISK-2025-0012</t>
  </si>
  <si>
    <t>ID.AM-02; PR.AA-04</t>
  </si>
  <si>
    <t>A.5.12</t>
  </si>
  <si>
    <t>Classification of information</t>
  </si>
  <si>
    <t>Information classification scheme is fundamental to applying proportionate controls. BFS uses a 4-tier classification: PUBLIC / INTERNAL / CONFIDENTIAL / RESTRICTED. Classification determines handling requirements, encryption obligations, retention, and access governance.</t>
  </si>
  <si>
    <t>BFS-ISP-003 §5.2; classification labels in document templates</t>
  </si>
  <si>
    <t>Information protection</t>
  </si>
  <si>
    <t>Protection, Defence</t>
  </si>
  <si>
    <t>BFS-RISK-2025-0011,0020,0038,0043</t>
  </si>
  <si>
    <t>Req 3.5; 7.1</t>
  </si>
  <si>
    <t>RA 10173 §11; NPC Circ 16-01</t>
  </si>
  <si>
    <t>ID.AM-05,07; GV.OC-01</t>
  </si>
  <si>
    <t>A.5.13</t>
  </si>
  <si>
    <t>Labelling of information</t>
  </si>
  <si>
    <t>Information labelling implements the classification scheme operationally. All BFS documents bear classification labels in headers/footers; emails labeled per classification; data systems labeled at storage and processing layer; metadata-driven labelling for structured data.</t>
  </si>
  <si>
    <t>BFS-ISP-003 §5.2; document templates; data tagging</t>
  </si>
  <si>
    <t>BFS-RISK-2025-0011,0020,0038</t>
  </si>
  <si>
    <t>PR.DS-02; PR.AA-06</t>
  </si>
  <si>
    <t>A.5.14</t>
  </si>
  <si>
    <t>Information transfer</t>
  </si>
  <si>
    <t>Information transfer covers internal and external transfer of information across networks, channels, and media. Includes secure email, file transfer, removable media, and cross-border transfers. Forthcoming BFS-ISP-024 will consolidate currently fragmented controls.</t>
  </si>
  <si>
    <t>BFS-ISP-024 (forthcoming); BFS-ISP-009; BFS-ISP-003</t>
  </si>
  <si>
    <t>BFS-RISK-2025-0009,0011,0038</t>
  </si>
  <si>
    <t>Req 9.4; 9.5</t>
  </si>
  <si>
    <t>PR.DS-02,11</t>
  </si>
  <si>
    <t>A.5.15</t>
  </si>
  <si>
    <t>Access control</t>
  </si>
  <si>
    <t>Access control is core to information security. BFS implements least-privilege, need-to-know, role-based access control, with progressive movement toward Zero Trust architecture. Comprehensive operational coverage through BFS-ISP-006.</t>
  </si>
  <si>
    <t>BFS-ISP-006; BFS-ISP-005</t>
  </si>
  <si>
    <t>Identity and access management</t>
  </si>
  <si>
    <t>CISO + Head of IAM</t>
  </si>
  <si>
    <t>BFS-RISK-2025-0004,0010,0042</t>
  </si>
  <si>
    <t>Circular 1140 §V.B; Circular 1048 §3.3</t>
  </si>
  <si>
    <t>Req 7</t>
  </si>
  <si>
    <t>PR.AA-01,02,03,04,05</t>
  </si>
  <si>
    <t>A.5.16</t>
  </si>
  <si>
    <t>Identity management</t>
  </si>
  <si>
    <t>Identity lifecycle management from provisioning through deprovisioning, with strong authentication, identity attestation, and reconciliation against authoritative HR source. Implemented through BFS-ISP-005 with PAM, IdP, and identity governance.</t>
  </si>
  <si>
    <t>BFS-ISP-005</t>
  </si>
  <si>
    <t>BFS-RISK-2025-0004,0010,0012,0042</t>
  </si>
  <si>
    <t>Req 7.2; 8.1</t>
  </si>
  <si>
    <t>PR.AA-01,02,03</t>
  </si>
  <si>
    <t>A.5.17</t>
  </si>
  <si>
    <t>Authentication information</t>
  </si>
  <si>
    <t>Protection of authentication information (passwords, tokens, certificates, biometric templates) from unauthorized disclosure. MFA mandated for all administrative and remote access; passwords managed per BFS standards; secrets management through enterprise PAM and secrets vaults.</t>
  </si>
  <si>
    <t>BFS-ISP-005 §5.3; BFS-ISP-006</t>
  </si>
  <si>
    <t>Req 8.3</t>
  </si>
  <si>
    <t>A.5.18</t>
  </si>
  <si>
    <t>Access rights</t>
  </si>
  <si>
    <t>Access rights provisioning, modification, periodic review, and termination. Quarterly access reviews for TIER 1 systems; annual reviews for all systems; immediate revocation on termination/role change. Implemented through BFS-ISP-005 §5.5 and BFS-ISP-006.</t>
  </si>
  <si>
    <t>BFS-ISP-005 §5.5; BFS-ISP-006</t>
  </si>
  <si>
    <t>BFS-RISK-2025-0010,0012</t>
  </si>
  <si>
    <t>Req 7.2.5; 8.2.6</t>
  </si>
  <si>
    <t>RA 10173 §16(e)</t>
  </si>
  <si>
    <t>PR.AA-05</t>
  </si>
  <si>
    <t>A.5.19</t>
  </si>
  <si>
    <t>Information security in supplier relationships</t>
  </si>
  <si>
    <t>Comprehensive supplier security framework including pre-engagement due diligence, contractual security obligations, ongoing monitoring, and offboarding. BFS-ISP-015 implements four-tier supplier classification (TIER 1 CRITICAL through TIER 4 LOW) with calibrated controls for each tier.</t>
  </si>
  <si>
    <t>BFS-ISP-015</t>
  </si>
  <si>
    <t>Supplier relationships security</t>
  </si>
  <si>
    <t>CISO + Head of Vendor Management</t>
  </si>
  <si>
    <t>BFS-RISK-2025-0014,0015,0017,0018</t>
  </si>
  <si>
    <t>Circular 1140 §V.E; Circular 1144 (Outsourcing)</t>
  </si>
  <si>
    <t>RA 10173 §16(f)</t>
  </si>
  <si>
    <t>GV.SC-04,05,06,07</t>
  </si>
  <si>
    <t>A.5.20</t>
  </si>
  <si>
    <t>Addressing information security within supplier agreements</t>
  </si>
  <si>
    <t>Standard Security Schedule and Data Processing Agreement (DPA) annexes for all supplier contracts. Specific clauses for incident notification SLAs, audit rights, data protection, encryption requirements, security testing, and offboarding obligations.</t>
  </si>
  <si>
    <t>BFS-ISP-015 §5.4; Legal Counsel templates</t>
  </si>
  <si>
    <t>CISO + Head of Vendor Management + Legal</t>
  </si>
  <si>
    <t>BFS-RISK-2025-0014,0015,0017</t>
  </si>
  <si>
    <t>Circular 1140 §V.E</t>
  </si>
  <si>
    <t>Req 12.8</t>
  </si>
  <si>
    <t>RA 10173 §16(f); §21</t>
  </si>
  <si>
    <t>GV.SC-05,07</t>
  </si>
  <si>
    <t>A.5.21</t>
  </si>
  <si>
    <t>Managing information security in the ICT supply chain</t>
  </si>
  <si>
    <t>ICT supply chain risk addressed through Software Asset Inventory (BFS-ISP-002), SBOM requirements for TIER 1 software (BFS-ISP-016), Software Composition Analysis in CI/CD pipeline, and cloud service provider governance. Critical post-Log4Shell, SolarWinds, MOVEit lessons learned.</t>
  </si>
  <si>
    <t>BFS-ISP-002; BFS-ISP-015; BFS-ISP-016 §5.6.3</t>
  </si>
  <si>
    <t>Supplier relationships security, System and network security</t>
  </si>
  <si>
    <t>BFS-RISK-2025-0006,0014,0015,0017</t>
  </si>
  <si>
    <t>GV.SC-07</t>
  </si>
  <si>
    <t>A.5.22</t>
  </si>
  <si>
    <t>Monitoring, review and change management of supplier services</t>
  </si>
  <si>
    <t>Continuous monitoring of supplier service performance and security posture. Annual Vendor Risk Assessments for TIER 1/2; supplier change notifications required per contract; breach of supplier security obligations triggers remediation or contract termination.</t>
  </si>
  <si>
    <t>BFS-ISP-015 §5.6</t>
  </si>
  <si>
    <t>Circular 1140 §V.E; Circular 1144</t>
  </si>
  <si>
    <t>GV.SC-09,10</t>
  </si>
  <si>
    <t>A.5.23</t>
  </si>
  <si>
    <t>Information security for use of cloud services</t>
  </si>
  <si>
    <t>Cloud security governance covering BFS's AWS environment and SaaS providers. Shared responsibility model documented; cloud-specific controls implemented; cloud penetration testing per BFS-ISP-018 §5.10.5; cloud configuration governance via Cloud Security Posture Management.</t>
  </si>
  <si>
    <t>BFS-ISP-006 (cloud access); BFS-ISP-015 (CSP as TIER 1); BFS-ISP-018</t>
  </si>
  <si>
    <t>CISO + Head of Cloud Engineering</t>
  </si>
  <si>
    <t>BFS-RISK-2025-0014,0016,0041,0042,0043</t>
  </si>
  <si>
    <t>GV.SC-07,10</t>
  </si>
  <si>
    <t>A.5.24</t>
  </si>
  <si>
    <t>Information security incident management planning and preparation</t>
  </si>
  <si>
    <t>Comprehensive incident response framework with 4-severity classification, 24/7 SOC, 19 documented playbooks (PB-001 through PB-019), formal IR Team structure, retainer relationships with external IR firms.</t>
  </si>
  <si>
    <t>BFS-ISP-017 §4 and §5.3</t>
  </si>
  <si>
    <t>Preventive / Corrective</t>
  </si>
  <si>
    <t>RESPOND, RECOVER</t>
  </si>
  <si>
    <t>Governance, Information security event management</t>
  </si>
  <si>
    <t>CISO + CIO</t>
  </si>
  <si>
    <t>BFS-RISK-2025-0024,0026,0044,0045</t>
  </si>
  <si>
    <t>Circular 1140 §VI</t>
  </si>
  <si>
    <t>Req 12.10</t>
  </si>
  <si>
    <t>RA 10173 §20(f)</t>
  </si>
  <si>
    <t>RS.MA-01,02,03</t>
  </si>
  <si>
    <t>A.5.25</t>
  </si>
  <si>
    <t>Assessment and decision on information security events</t>
  </si>
  <si>
    <t>SOC triage process for raw security events into incidents per defined criteria. Severity classification workflow with documented escalation thresholds. False positive vs. true positive determination through structured analysis.</t>
  </si>
  <si>
    <t>BFS-ISP-017 §5.4</t>
  </si>
  <si>
    <t>Preventive / Detective / Corrective</t>
  </si>
  <si>
    <t>DETECT, RESPOND</t>
  </si>
  <si>
    <t>Information security event management</t>
  </si>
  <si>
    <t>BFS-RISK-2025-0024,0044</t>
  </si>
  <si>
    <t>Circular 1140 §VI; Circular 1048 §3.5</t>
  </si>
  <si>
    <t>DE.AE-02,03,04,05,06,07,08; RS.AN-01</t>
  </si>
  <si>
    <t>A.5.26</t>
  </si>
  <si>
    <t>Response to information security incidents</t>
  </si>
  <si>
    <t>Structured response workflow: Detection → Triage → Containment → Eradication → Recovery → Lessons Learned. Documented playbooks for 19 incident scenarios. Incident Commander role; out-of-band communication channels; legal/regulatory coordination.</t>
  </si>
  <si>
    <t>BFS-ISP-017 §5.5 and §6</t>
  </si>
  <si>
    <t>Corrective</t>
  </si>
  <si>
    <t>BFS-RISK-2025-0001,0024</t>
  </si>
  <si>
    <t>RS.MA-04,05; RS.AN-06; RS.MI-01,02</t>
  </si>
  <si>
    <t>A.5.27</t>
  </si>
  <si>
    <t>Learning from information security incidents</t>
  </si>
  <si>
    <t>Mandatory Post-Incident Review (PIR) for all CRITICAL/HIGH incidents within 30 days. Root cause analysis, lessons learned, control improvements, playbook refinements, awareness reinforcement. PIR outputs feed continuous improvement of the BFS-ISP series.</t>
  </si>
  <si>
    <t>BFS-ISP-017 §5.8</t>
  </si>
  <si>
    <t>BFS-RISK-2025-0024,0026</t>
  </si>
  <si>
    <t>ID.IM-01,02,03,04; RS.AN-08</t>
  </si>
  <si>
    <t>A.5.28</t>
  </si>
  <si>
    <t>Collection of evidence</t>
  </si>
  <si>
    <t>Forensic evidence preservation procedures supporting law enforcement coordination, civil litigation, and regulatory examinations. Chain of custody requirements; forensic imaging procedures; legal hold management; admissibility-aware evidence handling.</t>
  </si>
  <si>
    <t>BFS-ISP-017 §5.6; Legal Counsel coordination</t>
  </si>
  <si>
    <t>RESPOND</t>
  </si>
  <si>
    <t>CISO + Legal</t>
  </si>
  <si>
    <t>BFS-RISK-2025-0024</t>
  </si>
  <si>
    <t>RS.AN-06,07; PR.IR-01</t>
  </si>
  <si>
    <t>A.5.29</t>
  </si>
  <si>
    <t>Information security during disruption</t>
  </si>
  <si>
    <t>Information security must continue during operational disruptions, not be suspended for expedience. BFS-ISP-011 establishes data recovery requirements; forthcoming BFS-ISP-011-BCP will provide comprehensive Business Continuity framework integrating with information security.</t>
  </si>
  <si>
    <t>BFS-ISP-011; BFS-ISP-011-BCP (forthcoming)</t>
  </si>
  <si>
    <t>PROTECT, RESPOND, RECOVER</t>
  </si>
  <si>
    <t>Continuity</t>
  </si>
  <si>
    <t>Protection, Resilience</t>
  </si>
  <si>
    <t>CIO + Head of BCM</t>
  </si>
  <si>
    <t>BFS-RISK-2025-0024,0035,0044,0045</t>
  </si>
  <si>
    <t>Circular 951 (BCM)</t>
  </si>
  <si>
    <t>Req 12.10.1</t>
  </si>
  <si>
    <t>RC.RP-01,02,03,04,05,06; ID.IM-01,02,03,04</t>
  </si>
  <si>
    <t>A.5.30</t>
  </si>
  <si>
    <t>ICT readiness for business continuity</t>
  </si>
  <si>
    <t>ICT-specific BCM requirements: tested DR procedures, RTO/RPO commitments per BFS-ISP-011, alternate processing arrangements, communication contingencies, ICT supplier dependency considerations. Forthcoming BFS-ISP-011-DRP will provide comprehensive DR plan.</t>
  </si>
  <si>
    <t>BFS-ISP-011; BFS-ISP-011-DRP (forthcoming)</t>
  </si>
  <si>
    <t>Availability</t>
  </si>
  <si>
    <t>Resilience</t>
  </si>
  <si>
    <t>BFS-RISK-2025-0024,0044,0045</t>
  </si>
  <si>
    <t>Circular 951</t>
  </si>
  <si>
    <t>RC.RP-01,02,03,04,05,06</t>
  </si>
  <si>
    <t>A.5.31</t>
  </si>
  <si>
    <t>Legal, statutory, regulatory and contractual requirements</t>
  </si>
  <si>
    <t>BFS as a BSP-supervised institution operates within an extensive regulatory framework: BSP Circulars 1140/1048/982/144/808, RA 10173, RA 10175, RA 11765, RA 8791, PCI DSS v4.0, plus card scheme rules and SWIFT CSP. Comprehensive register and compliance program.</t>
  </si>
  <si>
    <t>BFS-ISP-026 (forthcoming); CCO function</t>
  </si>
  <si>
    <t>Legal and compliance</t>
  </si>
  <si>
    <t>CCO + Legal</t>
  </si>
  <si>
    <t>BFS-RISK-2025-0019,0020,0021,0022,0023</t>
  </si>
  <si>
    <t>Circular 1140 §II</t>
  </si>
  <si>
    <t>RA 10173; RA 8791; RA 11765</t>
  </si>
  <si>
    <t>GV.OC-01,02,03,04,05; GV.RM-07</t>
  </si>
  <si>
    <t>A.5.32</t>
  </si>
  <si>
    <t>Intellectual property rights</t>
  </si>
  <si>
    <t>BFS holds intellectual property (proprietary software, business processes, brand) and uses third-party intellectual property (licensed software, content). IP protection and license compliance are operational concerns. Software license management per BFS-ISP-002.</t>
  </si>
  <si>
    <t>BFS-ISP-002 (license compliance); BFS-ISP-026</t>
  </si>
  <si>
    <t>BFS-RISK-2025-0019,0028</t>
  </si>
  <si>
    <t>Copyright Act</t>
  </si>
  <si>
    <t>GV.OC-03,04,05</t>
  </si>
  <si>
    <t>A.5.33</t>
  </si>
  <si>
    <t>Protection of records</t>
  </si>
  <si>
    <t>Records protection is mandatory for a regulated financial institution — records include transaction records, customer correspondence, audit logs, regulatory submissions, contracts. Retention periods per regulatory requirements; integrity protection; controlled disposal at end of retention.</t>
  </si>
  <si>
    <t>BFS-ISP-008 (audit logs); BFS-ISP-003 (data retention); BFS-ISMS-006</t>
  </si>
  <si>
    <t>Information protection, Legal and compliance</t>
  </si>
  <si>
    <t>Protection, Governance and Ecosystem</t>
  </si>
  <si>
    <t>DPO + CISO</t>
  </si>
  <si>
    <t>BFS-RISK-2025-0011,0028</t>
  </si>
  <si>
    <t>PR.DS-01,02; GV.OC-04</t>
  </si>
  <si>
    <t>A.5.34</t>
  </si>
  <si>
    <t>Privacy and protection of PII</t>
  </si>
  <si>
    <t>RA 10173 (Data Privacy Act) is foundational regulatory requirement for BFS. Comprehensive PII protection through BFS-ISP-003, DPO function, Privacy Impact Assessments integrated into SSDLC, 72-hour NPC breach notification, data subject rights fulfillment.</t>
  </si>
  <si>
    <t>BFS-ISP-003; DPO function; BFS-ISP-017 §5.9.2</t>
  </si>
  <si>
    <t>Confidentiality</t>
  </si>
  <si>
    <t>DPO</t>
  </si>
  <si>
    <t>BFS-RISK-2025-0020,0038,0039,0040</t>
  </si>
  <si>
    <t>Circular 1140 §V.D; Circular 1048</t>
  </si>
  <si>
    <t>Req 3</t>
  </si>
  <si>
    <t>RA 10173 §11; §16</t>
  </si>
  <si>
    <t>PR.DS-01,02,11; GV.OC-04</t>
  </si>
  <si>
    <t>A.5.35</t>
  </si>
  <si>
    <t>Independent review of information security</t>
  </si>
  <si>
    <t>Internal audit function operates independently of operational management with reporting line to Board Audit &amp; Risk Committee. Annual ISMS audits per BFS-ISMS-008. External penetration testing per BFS-ISP-018. ISO 27001 certification audit (planned) provides additional independence.</t>
  </si>
  <si>
    <t>BFS-ISMS-008; BFS-ISP-018</t>
  </si>
  <si>
    <t>Information security assurance</t>
  </si>
  <si>
    <t>CISO + Internal Audit</t>
  </si>
  <si>
    <t>GV.OV-01,02,03; ID.IM-03</t>
  </si>
  <si>
    <t>A.5.36</t>
  </si>
  <si>
    <t>Compliance with policies, rules and standards for information security</t>
  </si>
  <si>
    <t>Compliance with BFS information security policies is mandatory and monitored. Internal audit verifies compliance per BFS-ISMS-008; nonconformities tracked through BFS-ISMS-010 Corrective Action; KPI monitoring across BFS-ISP series; disciplinary framework per BFS-ISMS-001 §11.</t>
  </si>
  <si>
    <t>BFS-ISMS-008; BFS-ISMS-010; BFS-ISMS-001 §11</t>
  </si>
  <si>
    <t>Legal and compliance, Information security assurance</t>
  </si>
  <si>
    <t>CCO + Internal Audit</t>
  </si>
  <si>
    <t>RA 10173</t>
  </si>
  <si>
    <t>GV.OV-01,02,03; GV.OC-03,04,05</t>
  </si>
  <si>
    <t>A.5.37</t>
  </si>
  <si>
    <t>Documented operating procedures</t>
  </si>
  <si>
    <t>Operating procedures documented for all significant security activities. Document control governance per BFS-ISMS-006. Procedures referenced in each BFS-ISP policy §6 (Procedures). Operational runbooks maintained at TIER 4 level supporting day-to-day execution.</t>
  </si>
  <si>
    <t>BFS-ISMS-006; procedures in each BFS-ISP §6</t>
  </si>
  <si>
    <t>Governance, Asset management, Physical security, System and network security, Application security, Identity and access management, Threat and vulnerability management, Continuity, Information security event management, Information protection, Information security assurance</t>
  </si>
  <si>
    <t>Governance and Ecosystem, Protection, Defence, Resilience</t>
  </si>
  <si>
    <t>PR.IR-01,02,03,04; RS.MA-01,02</t>
  </si>
  <si>
    <t>A.6.1</t>
  </si>
  <si>
    <t>Screening</t>
  </si>
  <si>
    <t>Pre-employment screening is critical for a financial institution. BFS conducts background checks proportionate to role sensitivity — enhanced screening for roles with privileged access, financial transaction authority, or PII access. Aligns with BSP fit-and-proper requirements for material roles.</t>
  </si>
  <si>
    <t>BFS-ISP-021 (forthcoming); HR processes</t>
  </si>
  <si>
    <t>A.6 People</t>
  </si>
  <si>
    <t>Human resource security</t>
  </si>
  <si>
    <t>CHRO + CISO</t>
  </si>
  <si>
    <t>BFS-RISK-2025-0009,0010,0012</t>
  </si>
  <si>
    <t>Circular 1140 §V.C</t>
  </si>
  <si>
    <t>Req 12.7</t>
  </si>
  <si>
    <t>RA 10173 §16(d)</t>
  </si>
  <si>
    <t>PR.AT-01,02; GV.RR-03,04</t>
  </si>
  <si>
    <t>A.6.2</t>
  </si>
  <si>
    <t>Terms and conditions of employment</t>
  </si>
  <si>
    <t>Information security obligations are documented in employment contracts including confidentiality, IP assignment, acceptable use, post-termination obligations. Annual reaffirmation of obligations through training and acknowledgment.</t>
  </si>
  <si>
    <t>BFS-ISP-021 (forthcoming); employment contracts</t>
  </si>
  <si>
    <t>CHRO + Legal</t>
  </si>
  <si>
    <t>BFS-RISK-2025-0009,0012</t>
  </si>
  <si>
    <t>RA 10173 §16(d); NPC Circ 16-01</t>
  </si>
  <si>
    <t>GV.RR-03,04; PR.AT-01</t>
  </si>
  <si>
    <t>A.6.3</t>
  </si>
  <si>
    <t>Information security awareness, education and training</t>
  </si>
  <si>
    <t>Comprehensive security awareness program: mandatory annual training for all personnel, role-based training (developers, finance, executives, customer-facing), monthly phishing simulations, security culture reinforcement. Specific training for AI/LLM safety given AI-native platform development.</t>
  </si>
  <si>
    <t>BFS-ISP-014</t>
  </si>
  <si>
    <t>BFS-RISK-2025-0004,0011,0029,0034</t>
  </si>
  <si>
    <t>Req 12.6</t>
  </si>
  <si>
    <t>PR.AT-01,02</t>
  </si>
  <si>
    <t>A.6.4</t>
  </si>
  <si>
    <t>Disciplinary process</t>
  </si>
  <si>
    <t>Formal disciplinary framework for information security violations: 4-tier severity (Minor/Moderate/Serious/Critical-Legal) with proportionate consequences from coaching through termination and criminal referral. Non-retaliation for good-faith reporting per BFS-ISMS-001 §11.2.</t>
  </si>
  <si>
    <t>BFS-ISMS-001 §11; BFS-ISP-021; HR processes</t>
  </si>
  <si>
    <t>PROTECT, RESPOND</t>
  </si>
  <si>
    <t>CHRO</t>
  </si>
  <si>
    <t>BFS-RISK-2025-0009,0010,0012,0013</t>
  </si>
  <si>
    <t>GV.RR-04; RS.MA-04</t>
  </si>
  <si>
    <t>A.6.5</t>
  </si>
  <si>
    <t>Responsibilities after termination or change of employment</t>
  </si>
  <si>
    <t>Continuing obligations including confidentiality, return of assets, intellectual property, non-solicitation. Documented in employment contracts and reinforced at exit interviews. Critical for protecting BFS information after employment ends.</t>
  </si>
  <si>
    <t>BFS-ISP-021 (forthcoming); HR offboarding</t>
  </si>
  <si>
    <t>Human resource security, Asset management</t>
  </si>
  <si>
    <t>CHRO + Head of IAM</t>
  </si>
  <si>
    <t>GV.RR-03,04</t>
  </si>
  <si>
    <t>A.6.6</t>
  </si>
  <si>
    <t>Confidentiality or non-disclosure agreements</t>
  </si>
  <si>
    <t>NDAs required for all personnel and external parties (contractors, vendors, partners, auditors, prospective employees in interview process). Standard NDA templates maintained by Legal Counsel; provisions for both during and after engagement.</t>
  </si>
  <si>
    <t>BFS-ISP-021; BFS-ISP-015 §5.4; Legal Counsel</t>
  </si>
  <si>
    <t>Human resource security, Information protection, Supplier relationships security</t>
  </si>
  <si>
    <t>CHRO + Legal + DPO</t>
  </si>
  <si>
    <t>BFS-RISK-2025-0009,0020,0040</t>
  </si>
  <si>
    <t>Req 9.5.1; 12.10</t>
  </si>
  <si>
    <t>A.6.7</t>
  </si>
  <si>
    <t>Remote working</t>
  </si>
  <si>
    <t>Remote working arrangements at BFS require specific security controls covering device security, network access (VPN evolving to ZTNA), home environment expectations, secure handling of confidential information. Increasingly relevant as hybrid work becomes standard.</t>
  </si>
  <si>
    <t>BFS-ISP-022 (forthcoming)</t>
  </si>
  <si>
    <t>Asset management, Information protection, Physical security, System and network security</t>
  </si>
  <si>
    <t>CHRO + CIO + CISO</t>
  </si>
  <si>
    <t>BFS-RISK-2025-0011</t>
  </si>
  <si>
    <t>PR.AA-05; PR.AT-01,02</t>
  </si>
  <si>
    <t>A.6.8</t>
  </si>
  <si>
    <t>Information security event reporting</t>
  </si>
  <si>
    <t>All BFS personnel are required to report suspected security events promptly through documented channels. Reporting integrated into BFS-ISP-014 awareness training and BFS-ISP-017 incident response. Non-retaliation for good-faith reporting.</t>
  </si>
  <si>
    <t>BFS-ISP-017 §5.1; BFS-ISP-014</t>
  </si>
  <si>
    <t>BFS-RISK-2025-0001,0002,0009</t>
  </si>
  <si>
    <t>RS.MA-01,02; ID.IM-02</t>
  </si>
  <si>
    <t>A.7.1</t>
  </si>
  <si>
    <t>Physical security perimeters</t>
  </si>
  <si>
    <t>Physical security perimeters defined for all BFS premises: head office, branches, data centers, ATM locations. Layered perimeters with controlled entry, surveillance, and intrusion detection. Tier-classified physical controls based on facility sensitivity.</t>
  </si>
  <si>
    <t>BFS-ISP-019 (forthcoming); Corporate Security</t>
  </si>
  <si>
    <t>A.7 Physical</t>
  </si>
  <si>
    <t>Physical security</t>
  </si>
  <si>
    <t>Head of Physical Security</t>
  </si>
  <si>
    <t>BFS-RISK-2025-0035,0036</t>
  </si>
  <si>
    <t>Circular 1140 §V.A</t>
  </si>
  <si>
    <t>Req 9.2</t>
  </si>
  <si>
    <t>PR.IR-02,03,04; PR.AA-06</t>
  </si>
  <si>
    <t>A.7.2</t>
  </si>
  <si>
    <t>Physical entry</t>
  </si>
  <si>
    <t>Controlled physical entry through access cards, biometrics, security personnel, and visitor management. Multi-factor entry for sensitive areas (data centers, vault, secure rooms). Continuous logging of entry events.</t>
  </si>
  <si>
    <t>Physical security, Identity and access management</t>
  </si>
  <si>
    <t>Req 9.2; 9.3</t>
  </si>
  <si>
    <t>PR.AA-06; PR.IR-02</t>
  </si>
  <si>
    <t>A.7.3</t>
  </si>
  <si>
    <t>Securing offices, rooms and facilities</t>
  </si>
  <si>
    <t>Specific facilities housing sensitive operations (data centers, payment operations, executive offices, server rooms) protected with enhanced controls including dedicated access lists, surveillance, and environmental monitoring.</t>
  </si>
  <si>
    <t>BFS-ISP-019 (forthcoming)</t>
  </si>
  <si>
    <t>Physical security, Asset management</t>
  </si>
  <si>
    <t>PR.IR-02,04</t>
  </si>
  <si>
    <t>A.7.4</t>
  </si>
  <si>
    <t>Physical security monitoring</t>
  </si>
  <si>
    <t>CCTV coverage of all BFS premises with retention per regulatory requirements. Branch perimeter monitoring; data center monitoring; ATM site monitoring. Centralized security operations capability for physical events.</t>
  </si>
  <si>
    <t>PROTECT, DETECT</t>
  </si>
  <si>
    <t>BFS-RISK-2025-0036,0037</t>
  </si>
  <si>
    <t>DE.CM-02; PR.IR-02</t>
  </si>
  <si>
    <t>A.7.5</t>
  </si>
  <si>
    <t>Protecting against physical and environmental threats</t>
  </si>
  <si>
    <t>Protection against fire, flood, earthquake, power loss, temperature, and humidity events. BCM and DR planning addresses environmental contingencies. Critical infrastructure protection given Philippine geographic risk profile (earthquakes, typhoons).</t>
  </si>
  <si>
    <t>BFS-ISP-019; BFS-ISP-011 (DR planning)</t>
  </si>
  <si>
    <t>Head of Physical Security + Head of BCM</t>
  </si>
  <si>
    <t>BFS-RISK-2025-0035,0036,0044</t>
  </si>
  <si>
    <t>PR.IR-02,03,04; ID.RA-02</t>
  </si>
  <si>
    <t>A.7.6</t>
  </si>
  <si>
    <t>Working in secure areas</t>
  </si>
  <si>
    <t>Specific procedures for personnel working in secure areas (data centers, payment operations rooms, vault). Access logging, supervision requirements, prohibition on unauthorized devices, no-photography requirements.</t>
  </si>
  <si>
    <t>PR.IR-02</t>
  </si>
  <si>
    <t>A.7.7</t>
  </si>
  <si>
    <t>Clear desk and clear screen</t>
  </si>
  <si>
    <t>Clear desk and clear screen policies required for protection of confidential information visible in workspaces. Locked desks, encrypted device storage, screen lock automation, secure printing.</t>
  </si>
  <si>
    <t>BFS-ISP-020 (forthcoming Acceptable Use); BFS-ISP-019</t>
  </si>
  <si>
    <t>Head of Physical Security + CISO</t>
  </si>
  <si>
    <t>BFS-RISK-2025-0011,0036</t>
  </si>
  <si>
    <t>PR.DS-01; PR.IR-02</t>
  </si>
  <si>
    <t>A.7.8</t>
  </si>
  <si>
    <t>Equipment siting and protection</t>
  </si>
  <si>
    <t>Equipment positioned to minimize unauthorized observation, environmental damage, and physical interference. Particular attention to ATM siting (vandal/attack resistance) and data center equipment positioning.</t>
  </si>
  <si>
    <t>BFS-ISP-019 (forthcoming); ATM-specific standards</t>
  </si>
  <si>
    <t>Head of Infrastructure</t>
  </si>
  <si>
    <t>BFS-RISK-2025-0035</t>
  </si>
  <si>
    <t>PR.IR-02,03,04</t>
  </si>
  <si>
    <t>A.7.9</t>
  </si>
  <si>
    <t>Security of assets off-premises</t>
  </si>
  <si>
    <t>BFS assets used outside BFS premises (laptops, mobile devices, work-from-home equipment) protected through device security controls, encryption, remote wipe capability, and acceptable use requirements.</t>
  </si>
  <si>
    <t>BFS-ISP-022 (forthcoming Remote Working); BFS-ISP-001</t>
  </si>
  <si>
    <t>PR.IR-02; PR.AT-01</t>
  </si>
  <si>
    <t>A.7.10</t>
  </si>
  <si>
    <t>Storage media</t>
  </si>
  <si>
    <t>Secure handling of storage media (removable storage, backup tapes, archived media) including encryption, transport security, retention, and disposal. Particular attention to media leaving BFS custody (vendor returns, media destruction).</t>
  </si>
  <si>
    <t>BFS-ISP-003 §5.6; BFS-ISP-028 (forthcoming)</t>
  </si>
  <si>
    <t>Physical security, Asset management, Information protection</t>
  </si>
  <si>
    <t>Head of Infrastructure + CISO</t>
  </si>
  <si>
    <t>BFS-RISK-2025-0035,0037</t>
  </si>
  <si>
    <t>PR.DS-02,03,11; PR.IR-02</t>
  </si>
  <si>
    <t>A.7.11</t>
  </si>
  <si>
    <t>Supporting utilities</t>
  </si>
  <si>
    <t>Supporting utilities (power, cooling, communications) protected against failure. Redundant power feeds, UPS, generator backup for data centers; redundant cooling; redundant communications. Tested through BCM exercises.</t>
  </si>
  <si>
    <t>BFS-ISP-019; BFS-ISP-011 (BCM)</t>
  </si>
  <si>
    <t>BFS-RISK-2025-0035,0044,0045</t>
  </si>
  <si>
    <t>PR.IR-04; RC.RP-01</t>
  </si>
  <si>
    <t>A.7.12</t>
  </si>
  <si>
    <t>Cabling security</t>
  </si>
  <si>
    <t>Network and power cabling protected from interception, damage, and interference. Structured cabling, dedicated pathways, separation of power and data, monitoring of physical layer integrity in critical areas.</t>
  </si>
  <si>
    <t>BFS-ISP-019; BFS-ISP-012 (network)</t>
  </si>
  <si>
    <t>A.7.13</t>
  </si>
  <si>
    <t>Equipment maintenance</t>
  </si>
  <si>
    <t>Equipment maintenance performed by authorized personnel only, with controls preventing unauthorized access during maintenance, data sanitization before maintenance for equipment leaving BFS premises, and verification of returned equipment.</t>
  </si>
  <si>
    <t>BFS-ISP-019; BFS-ISP-001 (asset lifecycle)</t>
  </si>
  <si>
    <t>PR.IR-02; ID.AM-01</t>
  </si>
  <si>
    <t>A.7.14</t>
  </si>
  <si>
    <t>Secure disposal or re-use of equipment</t>
  </si>
  <si>
    <t>Equipment containing storage media securely sanitized or destroyed before disposal/reuse. Documented disposal procedures with chain of custody. Certificate of destruction for retired equipment containing sensitive data.</t>
  </si>
  <si>
    <t>BFS-ISP-028 (forthcoming); BFS-ISP-003</t>
  </si>
  <si>
    <t>BFS-RISK-2025-0011,0037</t>
  </si>
  <si>
    <t>Req 9.4.6</t>
  </si>
  <si>
    <t>PR.IR-02; PR.DS-03</t>
  </si>
  <si>
    <t>A.8.1</t>
  </si>
  <si>
    <t>User end point devices</t>
  </si>
  <si>
    <t>Endpoint devices (workstations, laptops, mobile devices) protected through MDM/UEM, EDR, full disk encryption, automated patching, and configuration baselines. Both BFS-issued and approved BYOD endpoints accessing BFS resources are governed.</t>
  </si>
  <si>
    <t>BFS-ISP-001; BFS-ISP-004; BFS-ISP-010</t>
  </si>
  <si>
    <t>A.8 Technological</t>
  </si>
  <si>
    <t>Head of IT Operations + CISO</t>
  </si>
  <si>
    <t>BFS-RISK-2025-0009,0010,0011</t>
  </si>
  <si>
    <t>PR.AC-01,02,03,04,05,06; PR.IR-01</t>
  </si>
  <si>
    <t>A.8.2</t>
  </si>
  <si>
    <t>Privileged access rights</t>
  </si>
  <si>
    <t>Privileged access tightly controlled through PAM solution with session recording, just-in-time access, MFA, time-bounded elevation, and separation from standard accounts. Critical for banking environment given consequences of privileged account compromise.</t>
  </si>
  <si>
    <t>BFS-ISP-005 §5.4; BFS-ISP-006</t>
  </si>
  <si>
    <t>Head of IAM</t>
  </si>
  <si>
    <t>BFS-RISK-2025-0010,0042</t>
  </si>
  <si>
    <t>Circular 1140 §V.B</t>
  </si>
  <si>
    <t>A.8.3</t>
  </si>
  <si>
    <t>Information access restriction</t>
  </si>
  <si>
    <t>Access restricted by role, function, and need-to-know. Application-level access controls; database-level row-level security where applicable; data classification driving access policy. Enforced through IAM and application authorization layers.</t>
  </si>
  <si>
    <t>BFS-ISP-006; BFS-ISP-003 (classification-driven)</t>
  </si>
  <si>
    <t>BFS-RISK-2025-0009,0010,0042</t>
  </si>
  <si>
    <t>PR.AA-05; PR.IR-01</t>
  </si>
  <si>
    <t>A.8.4</t>
  </si>
  <si>
    <t>Access to source code</t>
  </si>
  <si>
    <t>Source code access controlled through GitHub Enterprise / GitLab with role-based repository access. Production-bound code requires multi-party review (per BFS-ISP-016 SSDLC). Sensitive code (cryptographic, payment, AI) restricted to authorized teams.</t>
  </si>
  <si>
    <t>BFS-ISP-016 §5.5; BFS-ISP-006</t>
  </si>
  <si>
    <t>Identity and access management, Application security, Secure configuration</t>
  </si>
  <si>
    <t>Head of Software Engineering</t>
  </si>
  <si>
    <t>Req 6.4.2</t>
  </si>
  <si>
    <t>A.8.5</t>
  </si>
  <si>
    <t>Secure authentication</t>
  </si>
  <si>
    <t>Strong authentication required across BFS systems: MFA mandatory for all administrative, remote, and customer-facing authentication; passwordless authentication (FIDO2, biometrics) progressively deployed; risk-based authentication for customer-facing services.</t>
  </si>
  <si>
    <t>BFS-ISP-005 §5.3</t>
  </si>
  <si>
    <t>BFS-RISK-2025-0004,0010,0034,0042</t>
  </si>
  <si>
    <t>Req 8.3; 8.4</t>
  </si>
  <si>
    <t>A.8.6</t>
  </si>
  <si>
    <t>Capacity management</t>
  </si>
  <si>
    <t>Capacity monitoring across infrastructure (compute, storage, network, database) to prevent availability issues from resource exhaustion. Auto-scaling for cloud workloads; capacity forecasting for on-premise; load testing pre-deployment.</t>
  </si>
  <si>
    <t>BFS-ISP-012; cloud architecture practices</t>
  </si>
  <si>
    <t>IDENTIFY, PROTECT, DETECT</t>
  </si>
  <si>
    <t>Protection, Defence, Resilience</t>
  </si>
  <si>
    <t>Head of IT Operations + Head of Cloud Engineering</t>
  </si>
  <si>
    <t>BFS-RISK-2025-0024,0025</t>
  </si>
  <si>
    <t>ID.AM-01; PR.IR-04</t>
  </si>
  <si>
    <t>A.8.7</t>
  </si>
  <si>
    <t>Protection against malware</t>
  </si>
  <si>
    <t>Comprehensive 10-layer malware defense per BFS-ISP-010: EDR/XDR, email security, web filtering, network IDS/IPS, application allowlisting, sandboxing, attachment scanning, threat intelligence integration, behavioral detection, ransomware-specific protections.</t>
  </si>
  <si>
    <t>BFS-ISP-010</t>
  </si>
  <si>
    <t>System and network security, Information protection</t>
  </si>
  <si>
    <t>Head of IT Security + Head of Endpoint Engineering</t>
  </si>
  <si>
    <t>BFS-RISK-2025-0001,0004</t>
  </si>
  <si>
    <t>Req 5</t>
  </si>
  <si>
    <t>PR.PS-05; DE.CM-09</t>
  </si>
  <si>
    <t>A.8.8</t>
  </si>
  <si>
    <t>Management of technical vulnerabilities</t>
  </si>
  <si>
    <t>Comprehensive vulnerability management: continuous scanning, KEV-prioritized remediation, severity-tiered SLAs (24-hour for KEV/CRITICAL on TIER 1 systems through 180 days for low), exception governance, and metrics reporting.</t>
  </si>
  <si>
    <t>BFS-ISP-007</t>
  </si>
  <si>
    <t>Head of IT Security</t>
  </si>
  <si>
    <t>BFS-RISK-2025-0001,0006,0021</t>
  </si>
  <si>
    <t>Req 6.3; 11.3</t>
  </si>
  <si>
    <t>ID.RA-01,02,03,06,09; PR.PS-02,03</t>
  </si>
  <si>
    <t>A.8.9</t>
  </si>
  <si>
    <t>Configuration management</t>
  </si>
  <si>
    <t>Secure configuration baselines (CIS Benchmarks, vendor hardening guides) applied to all in-scope assets. Configuration drift detection; change management gating; Infrastructure as Code for cloud configurations.</t>
  </si>
  <si>
    <t>BFS-ISP-004</t>
  </si>
  <si>
    <t>Secure configuration</t>
  </si>
  <si>
    <t>Head of Infrastructure + Head of Cloud Engineering</t>
  </si>
  <si>
    <t>BFS-RISK-2025-0041</t>
  </si>
  <si>
    <t>Req 2</t>
  </si>
  <si>
    <t>PR.PS-01,02,03,04,05</t>
  </si>
  <si>
    <t>A.8.10</t>
  </si>
  <si>
    <t>Information deletion</t>
  </si>
  <si>
    <t>Information deletion at end of retention period or on-demand (data subject rights). Cryptographic erasure for cloud, physical destruction for on-premise media, certificate of destruction for outsourced disposal. Particular attention to backup deletion alignment.</t>
  </si>
  <si>
    <t>BFS-ISP-003; BFS-ISP-028 (forthcoming)</t>
  </si>
  <si>
    <t>DPO + Head of Software Engineering</t>
  </si>
  <si>
    <t>BFS-RISK-2025-0020,0040</t>
  </si>
  <si>
    <t>PR.DS-03,11</t>
  </si>
  <si>
    <t>A.8.11</t>
  </si>
  <si>
    <t>Data masking</t>
  </si>
  <si>
    <t>Data masking applied to sensitive data in non-production environments (development, test, training) and in customer-service contexts where full data not needed. Particular attention to PII and payment card data masking.</t>
  </si>
  <si>
    <t>BFS-ISP-003 §5.5; BFS-ISP-029 (forthcoming Test/Dev Env)</t>
  </si>
  <si>
    <t>BFS-RISK-2025-0020</t>
  </si>
  <si>
    <t>Req 3.5</t>
  </si>
  <si>
    <t>PR.DS-01,02</t>
  </si>
  <si>
    <t>A.8.12</t>
  </si>
  <si>
    <t>Data leakage prevention</t>
  </si>
  <si>
    <t>DLP controls across email, web, endpoint, and cloud channels. Particular focus on customer PII, payment card data, source code, and confidential business information. DLP integrated with SOC for monitoring and response.</t>
  </si>
  <si>
    <t>BFS-ISP-003; BFS-ISP-013 (DLP integration)</t>
  </si>
  <si>
    <t>BFS-RISK-2025-0009,0011</t>
  </si>
  <si>
    <t>PR.DS-01,02; DE.CM-09</t>
  </si>
  <si>
    <t>A.8.13</t>
  </si>
  <si>
    <t>Information backup</t>
  </si>
  <si>
    <t>Comprehensive backup framework: 3-2-1-1-0 backup principle (3 copies, 2 media, 1 offsite, 1 immutable, 0 errors after verification), tested recovery, RPO/RTO objectives, ransomware-resilient immutable backups.</t>
  </si>
  <si>
    <t>BFS-ISP-011</t>
  </si>
  <si>
    <t>Integrity, Availability</t>
  </si>
  <si>
    <t>RECOVER</t>
  </si>
  <si>
    <t>CIO + Head of Infrastructure</t>
  </si>
  <si>
    <t>BFS-RISK-2025-0001,0024,0044</t>
  </si>
  <si>
    <t>Circular 951; Circular 1140</t>
  </si>
  <si>
    <t>Req 9.5; 12.10.1</t>
  </si>
  <si>
    <t>RC.RP-03; PR.DS-11</t>
  </si>
  <si>
    <t>A.8.14</t>
  </si>
  <si>
    <t>Redundancy of information processing facilities</t>
  </si>
  <si>
    <t>Redundancy across multiple dimensions: data center redundancy (primary + DR), system-level redundancy (clustering, replication), network redundancy (multi-path, multi-provider), cloud multi-AZ deployment.</t>
  </si>
  <si>
    <t>BFS-ISP-011; BFS-ISP-012</t>
  </si>
  <si>
    <t>Continuity, Asset management</t>
  </si>
  <si>
    <t>A.8.15</t>
  </si>
  <si>
    <t>Logging</t>
  </si>
  <si>
    <t>Comprehensive logging across applications, infrastructure, security tools, and cloud services. Centralized log aggregation in SIEM with retention per regulatory requirements. Log integrity protection through write-once and cryptographic mechanisms.</t>
  </si>
  <si>
    <t>BFS-ISP-008</t>
  </si>
  <si>
    <t>Detective</t>
  </si>
  <si>
    <t>DETECT</t>
  </si>
  <si>
    <t>BFS-RISK-2025-0028</t>
  </si>
  <si>
    <t>Circular 1140 §V.G</t>
  </si>
  <si>
    <t>Req 10</t>
  </si>
  <si>
    <t>PR.PS-04; DE.CM-01,03,06,09</t>
  </si>
  <si>
    <t>A.8.16</t>
  </si>
  <si>
    <t>Monitoring activities</t>
  </si>
  <si>
    <t>24/7 SOC monitoring through SIEM, EDR, NDR, DLP, and other detection systems. MITRE ATT&amp;CK-aligned detection rules. Mandatory sensor coverage points per BFS-ISP-013. Threat hunting program.</t>
  </si>
  <si>
    <t>BFS-ISP-013</t>
  </si>
  <si>
    <t>BFS-RISK-2025-0001,0009,0010,0028</t>
  </si>
  <si>
    <t>Req 10.7; 12.10</t>
  </si>
  <si>
    <t>DE.CM-01,02,03,06,09; DE.AE-02,03</t>
  </si>
  <si>
    <t>A.8.17</t>
  </si>
  <si>
    <t>Clock synchronization</t>
  </si>
  <si>
    <t>Time synchronization across BFS systems via redundant NTP servers stratified to authoritative time sources. Critical for log correlation, transaction integrity, certificate validation, and forensic analysis.</t>
  </si>
  <si>
    <t>BFS-ISP-008 §5.7; BFS-ISP-012</t>
  </si>
  <si>
    <t>Integrity</t>
  </si>
  <si>
    <t>Req 10.6</t>
  </si>
  <si>
    <t>PR.PS-04; PR.PT-01</t>
  </si>
  <si>
    <t>A.8.18</t>
  </si>
  <si>
    <t>Use of privileged utility programs</t>
  </si>
  <si>
    <t>Privileged utility programs (system administration tools, debuggers, network analyzers) restricted to authorized personnel with logged access. Tools available only on hardened administration workstations or jump servers; standard endpoints prohibited from running such utilities.</t>
  </si>
  <si>
    <t>BFS-ISP-006; BFS-ISP-005 (PAM)</t>
  </si>
  <si>
    <t>Identity and access management, System and network security, Application security, Secure configuration</t>
  </si>
  <si>
    <t>BFS-RISK-2025-0010,0011</t>
  </si>
  <si>
    <t>PR.AA-05; PR.PS-05</t>
  </si>
  <si>
    <t>A.8.19</t>
  </si>
  <si>
    <t>Installation of software on operational systems</t>
  </si>
  <si>
    <t>Software installation on operational systems controlled through change management; production systems do not run interactive software installation; only approved software inventory may be installed; deviation from approved software is monitored.</t>
  </si>
  <si>
    <t>BFS-ISP-002 §5.4; BFS-ISP-016</t>
  </si>
  <si>
    <t>Secure configuration, Application security</t>
  </si>
  <si>
    <t>Head of Infrastructure + Head of Software Engineering</t>
  </si>
  <si>
    <t>BFS-RISK-2025-0026,0041</t>
  </si>
  <si>
    <t>PR.PS-01,02; PR.IR-01</t>
  </si>
  <si>
    <t>A.8.20</t>
  </si>
  <si>
    <t>Networks security</t>
  </si>
  <si>
    <t>Network security through layered controls: firewalls (perimeter, internal segmentation, host-based), IDS/IPS, NAC for endpoint admission, encryption of network traffic, network monitoring and analytics.</t>
  </si>
  <si>
    <t>BFS-ISP-012; BFS-ISP-013</t>
  </si>
  <si>
    <t>System and network security</t>
  </si>
  <si>
    <t>Head of Network</t>
  </si>
  <si>
    <t>BFS-RISK-2025-0001,0003</t>
  </si>
  <si>
    <t>Circular 1140 §V.F</t>
  </si>
  <si>
    <t>Req 1</t>
  </si>
  <si>
    <t>PR.IR-01; PR.PS-05</t>
  </si>
  <si>
    <t>A.8.21</t>
  </si>
  <si>
    <t>Security of network services</t>
  </si>
  <si>
    <t>Network services (internal and external) secured per service-specific standards. Service authentication, encryption (TLS 1.2+ minimum), DDoS protection for internet-facing services, SLA monitoring including security dimensions for external services.</t>
  </si>
  <si>
    <t>BFS-ISP-012; BFS-ISP-015 (external services)</t>
  </si>
  <si>
    <t>BFS-RISK-2025-0001,0006</t>
  </si>
  <si>
    <t>A.8.22</t>
  </si>
  <si>
    <t>Segregation of networks</t>
  </si>
  <si>
    <t>Network segregation through VLANs, firewalls, and zero-trust architecture progression. Specific segregation: production / non-production; PCI scope / non-PCI; high-trust / low-trust zones; SWIFT environment isolation per CSP requirements.</t>
  </si>
  <si>
    <t>BFS-ISP-012 §5.3</t>
  </si>
  <si>
    <t>BFS-RISK-2025-0001,0010</t>
  </si>
  <si>
    <t>Req 1.4</t>
  </si>
  <si>
    <t>PR.IR-01; PR.AC-05</t>
  </si>
  <si>
    <t>A.8.23</t>
  </si>
  <si>
    <t>Web filtering</t>
  </si>
  <si>
    <t>Web filtering protecting personnel from malicious sites, blocking categories of inappropriate content, preventing data exfiltration through unauthorized web services. Cloud-delivered web security gateway with TLS inspection.</t>
  </si>
  <si>
    <t>BFS-ISP-009 §5.4</t>
  </si>
  <si>
    <t>Head of Network + CISO</t>
  </si>
  <si>
    <t>BFS-RISK-2025-0001</t>
  </si>
  <si>
    <t>Req 1.3; 6.4.3</t>
  </si>
  <si>
    <t>PR.PS-05; PR.IR-01</t>
  </si>
  <si>
    <t>A.8.24</t>
  </si>
  <si>
    <t>Use of cryptography</t>
  </si>
  <si>
    <t>Cryptography is foundational to BFS information security: encryption of data at rest and in transit, digital signatures, key management, cryptographic protocols. Approved cryptographic algorithms per BFS standards; HSM-backed key management for high-value cryptographic operations.</t>
  </si>
  <si>
    <t>BFS-ISP-023 (forthcoming); BFS-ISP-003</t>
  </si>
  <si>
    <t>Confidentiality, Integrity</t>
  </si>
  <si>
    <t>Secure configuration, Information protection</t>
  </si>
  <si>
    <t>BFS-RISK-2025-0020,0033</t>
  </si>
  <si>
    <t>Req 3.5; 3.6</t>
  </si>
  <si>
    <t>PR.DS-01,02; PR.PS-01</t>
  </si>
  <si>
    <t>A.8.25</t>
  </si>
  <si>
    <t>Secure development life cycle</t>
  </si>
  <si>
    <t>Comprehensive SSDLC integrated with software engineering practices: requirements security, threat modeling, secure design, secure coding, security testing, secure deployment. Aligned with OWASP SAMM and BSIMM frameworks.</t>
  </si>
  <si>
    <t>BFS-ISP-016</t>
  </si>
  <si>
    <t>Application security</t>
  </si>
  <si>
    <t>BFS-RISK-2025-0006,0026</t>
  </si>
  <si>
    <t>Req 6.2; 6.3</t>
  </si>
  <si>
    <t>PR.PS-06; GV.SC-02</t>
  </si>
  <si>
    <t>A.8.26</t>
  </si>
  <si>
    <t>Application security requirements</t>
  </si>
  <si>
    <t>Application security requirements specified at project inception per OWASP ASVS levels appropriate to application criticality. TIER 1 applications meet ASVS Level 3; TIER 2 meet ASVS Level 2; security requirements integrated into functional requirements.</t>
  </si>
  <si>
    <t>BFS-ISP-016 §5.2; ASVS-aligned requirements</t>
  </si>
  <si>
    <t>Head of Application Security</t>
  </si>
  <si>
    <t>BFS-RISK-2025-0005,0006</t>
  </si>
  <si>
    <t>Req 6.2.4</t>
  </si>
  <si>
    <t>PR.PS-06</t>
  </si>
  <si>
    <t>A.8.27</t>
  </si>
  <si>
    <t>Secure system architecture and engineering principles</t>
  </si>
  <si>
    <t>Architectural security principles: defense in depth, least privilege, secure defaults, fail securely, separation of duties, complete mediation, economy of mechanism. Encoded in MSAMS Architecture Blueprint and applied to AI-native platform construction.</t>
  </si>
  <si>
    <t>BFS-ISP-016 §5.4; MSAMS Architecture Blueprint</t>
  </si>
  <si>
    <t>Application security, System and network security</t>
  </si>
  <si>
    <t>Head of Enterprise Architecture</t>
  </si>
  <si>
    <t>BFS-RISK-2025-0006,0024</t>
  </si>
  <si>
    <t>PR.IR-01; PR.PS-01,02</t>
  </si>
  <si>
    <t>A.8.28</t>
  </si>
  <si>
    <t>Secure coding</t>
  </si>
  <si>
    <t>Secure coding standards based on OWASP Top 10, OWASP API Top 10, language-specific secure coding guides. SAST tooling enforces standards in CI/CD; manual code review for high-risk code paths; security-focused training for developers.</t>
  </si>
  <si>
    <t>BFS-ISP-016 §5.5</t>
  </si>
  <si>
    <t>Head of Software Engineering + Head of Application Security</t>
  </si>
  <si>
    <t>BFS-RISK-2025-0005,0006,0026</t>
  </si>
  <si>
    <t>Req 6.2.4; 6.3.2</t>
  </si>
  <si>
    <t>PR.PS-06; PR.AA-01</t>
  </si>
  <si>
    <t>A.8.29</t>
  </si>
  <si>
    <t>Security testing in development and acceptance</t>
  </si>
  <si>
    <t>Multi-layer security testing: SAST in CI/CD, DAST against running applications, IAST where applicable, manual penetration testing for TIER 1 applications pre-release and annually. Integrated through BFS-ISP-016 (development testing) and BFS-ISP-018 (penetration testing).</t>
  </si>
  <si>
    <t>BFS-ISP-016 §5.7; BFS-ISP-018</t>
  </si>
  <si>
    <t>Application security, Information security assurance</t>
  </si>
  <si>
    <t>Head of Application Security + Head of QA</t>
  </si>
  <si>
    <t>BFS-RISK-2025-0005,0021,0026</t>
  </si>
  <si>
    <t>Req 6.3.2; 11.3.1</t>
  </si>
  <si>
    <t>PR.PS-06; ID.RA-01,06</t>
  </si>
  <si>
    <t>A.8.30</t>
  </si>
  <si>
    <t>Outsourced development</t>
  </si>
  <si>
    <t>Outsourced development governed through service provider security framework (BFS-ISP-015) plus SSDLC requirements (BFS-ISP-016). Outsourced developers subject to same security standards as internal developers including code review, testing, and SBOM provision.</t>
  </si>
  <si>
    <t>BFS-ISP-015; BFS-ISP-016</t>
  </si>
  <si>
    <t>Application security, Supplier relationships security</t>
  </si>
  <si>
    <t>Head of Vendor Management + Head of Application Security</t>
  </si>
  <si>
    <t>BFS-RISK-2025-0006,0021</t>
  </si>
  <si>
    <t>Req 12.8; 12.9</t>
  </si>
  <si>
    <t>GV.SC-05,06,07; PR.PS-06</t>
  </si>
  <si>
    <t>A.8.31</t>
  </si>
  <si>
    <t>Separation of development, test and production environments</t>
  </si>
  <si>
    <t>Separate development, staging, and production environments with controlled promotion. Production data not used in non-production environments without masking. Strict access controls preventing unauthorized cross-environment access.</t>
  </si>
  <si>
    <t>BFS-ISP-029 (forthcoming); BFS-ISP-016</t>
  </si>
  <si>
    <t>Req 6.5</t>
  </si>
  <si>
    <t>PR.PS-01,06</t>
  </si>
  <si>
    <t>A.8.32</t>
  </si>
  <si>
    <t>Change management</t>
  </si>
  <si>
    <t>Formal change management governing all production changes. Change advisory boards for material changes; emergency change procedures with post-implementation review; automated changes through CI/CD with appropriate gates.</t>
  </si>
  <si>
    <t>BFS-ISP-016 §5.8; BFS-ISP-004</t>
  </si>
  <si>
    <t>BFS-RISK-2025-0026,0035</t>
  </si>
  <si>
    <t>PR.PS-01; ID.IM-03</t>
  </si>
  <si>
    <t>A.8.33</t>
  </si>
  <si>
    <t>Test information</t>
  </si>
  <si>
    <t>Production data not used as test data without explicit data masking and access controls. Synthetic test data generation preferred. Test data subject to same protection as classification level requires; secure handling and timely deletion of test datasets.</t>
  </si>
  <si>
    <t>BFS-ISP-029 (forthcoming); BFS-ISP-003</t>
  </si>
  <si>
    <t>Head of QA + DPO</t>
  </si>
  <si>
    <t>BFS-RISK-2025-0020,0021</t>
  </si>
  <si>
    <t>Req 6.5.2</t>
  </si>
  <si>
    <t>A.8.34</t>
  </si>
  <si>
    <t>Protection of information systems during audit testing</t>
  </si>
  <si>
    <t>Audit and testing activities (internal audit, external audit, penetration testing, regulatory examination) conducted with appropriate safeguards: read-only access where possible, supervised testing for sensitive systems, ROE per BFS-ISP-018, evidence preservation, no unauthorized modifications.</t>
  </si>
  <si>
    <t>BFS-ISP-018 §5.7; BFS-ISP-008; BFS-ISMS-008</t>
  </si>
  <si>
    <t>Circular 1140 §VII</t>
  </si>
  <si>
    <t>Req 11.5</t>
  </si>
  <si>
    <t>PR.IA-09; DE.CM-01,02,03</t>
  </si>
  <si>
    <t>SOA COVERAGE DASHBOARD</t>
  </si>
  <si>
    <t>Implementation Status Summary</t>
  </si>
  <si>
    <t>Coverage by Theme</t>
  </si>
  <si>
    <t>Status</t>
  </si>
  <si>
    <t>Count</t>
  </si>
  <si>
    <t>% of Total</t>
  </si>
  <si>
    <t>Color</t>
  </si>
  <si>
    <t>Theme</t>
  </si>
  <si>
    <t>███</t>
  </si>
  <si>
    <t>Not Implemented</t>
  </si>
  <si>
    <t>TOTAL</t>
  </si>
  <si>
    <t>100.0%</t>
  </si>
  <si>
    <t>Applicability Summary</t>
  </si>
  <si>
    <t>Maturity Level Distribution</t>
  </si>
  <si>
    <t>Decision</t>
  </si>
  <si>
    <t>Maturity</t>
  </si>
  <si>
    <t>% of Applicable</t>
  </si>
  <si>
    <t>Level 3 — Defined</t>
  </si>
  <si>
    <t>Not Applicable</t>
  </si>
  <si>
    <t>Level 2 — Managed</t>
  </si>
  <si>
    <t>Level 1 — Initial</t>
  </si>
  <si>
    <t>Level 0 — Not Implemented</t>
  </si>
  <si>
    <t>Implementation Status by Theme</t>
  </si>
  <si>
    <t>Partially Impl.</t>
  </si>
  <si>
    <t>Not Impl.</t>
  </si>
  <si>
    <t>Theme Total</t>
  </si>
  <si>
    <t>ANNEX A COMPARISON EVIDENCE — Clause 6.1.3(c)</t>
  </si>
  <si>
    <t>Per BFS-ISMS-003 §7.2 — Documents Risk Register entries that drove control selection (auditor evidence for omission check)</t>
  </si>
  <si>
    <t>Risks Mitigated</t>
  </si>
  <si>
    <t>Coverage Notes</t>
  </si>
  <si>
    <t>Risk-driven; specific Risk Register entries</t>
  </si>
  <si>
    <t>ISO 27001 baseline; BSP regulatory expectation</t>
  </si>
  <si>
    <t>SOA CHANGE LOG</t>
  </si>
  <si>
    <t>Material changes to applicability decisions, justifications, or implementation status. Must be reflected in next BFS-ISMS-004 .docx version.</t>
  </si>
  <si>
    <t>Date</t>
  </si>
  <si>
    <t>Change Type</t>
  </si>
  <si>
    <t>Description of Change</t>
  </si>
  <si>
    <t>Driver / Rationale</t>
  </si>
  <si>
    <t>Approver</t>
  </si>
  <si>
    <t>All</t>
  </si>
  <si>
    <t>Initial Release</t>
  </si>
  <si>
    <t>BFS-ISMS-004 SoA v1.0 published; all 93 Annex A controls assessed; all declared Applicable.</t>
  </si>
  <si>
    <t>Initial ISMS implementation; certification preparation.</t>
  </si>
  <si>
    <t>CISO + CIO + CRO + Board AC</t>
  </si>
  <si>
    <t>Working Register Created</t>
  </si>
  <si>
    <t>BFS-ISMS-004 Working Register v1.0 derived from .docx. Adds 30 operational tracking columns.</t>
  </si>
  <si>
    <t>Operational management of SoA; audit preparation.</t>
  </si>
  <si>
    <t>SOA WORKING REGISTER — COLUMN DEFINITIONS &amp; SCHEMA</t>
  </si>
  <si>
    <t>Column Definitions</t>
  </si>
  <si>
    <t>Column</t>
  </si>
  <si>
    <t>Source</t>
  </si>
  <si>
    <t>Definition &amp; Purpose</t>
  </si>
  <si>
    <t>BFS-ISMS-004 / ISO 27001:2022 Annex A</t>
  </si>
  <si>
    <t>Annex A control identifier. Primary key for cross-reference to the standard.</t>
  </si>
  <si>
    <t>Official ISO control title. Use for direct cross-reference to ISO/IEC 27002:2022 implementation guidance.</t>
  </si>
  <si>
    <t>BFS-ISMS-004 (Authoritative)</t>
  </si>
  <si>
    <t>BFS's applicability determination per ISO 27001 Clause 6.1.3(d). Applicable / Not Applicable.</t>
  </si>
  <si>
    <t>For Applicable: justification + brief implementation context. For Not Applicable: specific credible exclusion rationale.</t>
  </si>
  <si>
    <t>Primary BFS policy/procedure implementing the control. Updates here must propagate to BFS-ISMS-004 .docx.</t>
  </si>
  <si>
    <t>ISO 27002:2022</t>
  </si>
  <si>
    <t>A.5 Organizational / A.6 People / A.7 Physical / A.8 Technological.</t>
  </si>
  <si>
    <t>ISO 27002:2022 attribute</t>
  </si>
  <si>
    <t>Preventive / Detective / Corrective. Many controls combine types (e.g., Preventive + Detective).</t>
  </si>
  <si>
    <t>Information Security Properties</t>
  </si>
  <si>
    <t>Which CIA dimensions the control protects: Confidentiality / Integrity / Availability.</t>
  </si>
  <si>
    <t>Identify / Protect / Detect / Respond / Recover. Aligned to NIST Cybersecurity Framework functions.</t>
  </si>
  <si>
    <t>Capability area: Governance / Asset_management / Information_protection / Identity_and_access_management / etc.</t>
  </si>
  <si>
    <t>Governance_and_Ecosystem / Protection / Defence / Resilience.</t>
  </si>
  <si>
    <t>Operational</t>
  </si>
  <si>
    <t>Implemented / Partially Implemented / Planned / Not Implemented. Update continuously.</t>
  </si>
  <si>
    <t>CMMI-derived</t>
  </si>
  <si>
    <t>1 Initial / 2 Managed / 3 Defined / 4 Quantitatively Managed / 5 Optimizing. Distinguishes 'control exists' from 'control works reliably'.</t>
  </si>
  <si>
    <t>Date the control reached current implementation status. Required for 'how long has this control been in place' audit queries.</t>
  </si>
  <si>
    <t>When the control will reach full implementation. Required for ISO 27001 Clause 6.1.3 risk treatment plan integration.</t>
  </si>
  <si>
    <t>Named executive accountable per BFS-ISMS-003 §8.1 principle. Cannot be a function or team.</t>
  </si>
  <si>
    <t>Team or function performing the control day-to-day (e.g., 'IT Security Team', 'DevSecOps Team').</t>
  </si>
  <si>
    <t>Who approved current implementation status (CISO / CIO / CRO / Board AC).</t>
  </si>
  <si>
    <t>Policy / Procedure / Configuration / Log / Report / Training Record / Audit Trail. Auditor's first question is 'what evidence?'</t>
  </si>
  <si>
    <t>Specific reference: BFS-ISP-XXX §Y.Z, SIEM dashboard name, repository URL, system configuration export.</t>
  </si>
  <si>
    <t>When evidence was last validated as current. Distinguishes 'documented control' from 'verified-operational control'.</t>
  </si>
  <si>
    <t>Sample testing / Walkthrough / Configuration review / Log review / Penetration test / Automated monitoring.</t>
  </si>
  <si>
    <t>Who validated: Internal Audit / CISO Office / Control Owner / External Auditor / QSA.</t>
  </si>
  <si>
    <t>Last internal or external audit covering this control.</t>
  </si>
  <si>
    <t>Reference to any open audit findings related to this control.</t>
  </si>
  <si>
    <t>Risk IDs from BFS-RR-2025 Risk Register addressed by this control. Demonstrates Annex A comparison process per Clause 6.1.3(c).</t>
  </si>
  <si>
    <t>Effective / Partially Effective / Ineffective. Per management's last review. Emphasized in ISO 27001:2022.</t>
  </si>
  <si>
    <t>Where primary control is partial, what compensating controls reduce residual risk.</t>
  </si>
  <si>
    <t>Cross-mapping</t>
  </si>
  <si>
    <t>BSP Circulars 1140/1048/944/982/969/951/1144 clauses this control supports.</t>
  </si>
  <si>
    <t>PCI DSS clauses this control supports (where applicable to CDE).</t>
  </si>
  <si>
    <t>Data Privacy Act sections this control supports.</t>
  </si>
  <si>
    <t>NIST Cybersecurity Framework 2.0 subcategory cross-reference.</t>
  </si>
  <si>
    <t>ISO 42001 / ISO 22301 / SOC 2 / RA 11765 mappings.</t>
  </si>
  <si>
    <t>Date control description and applicability last reviewed (separate from evidence verification).</t>
  </si>
  <si>
    <t>When the control is next due for review.</t>
  </si>
  <si>
    <t>Annual / Semi-Annual / Quarterly. Calibrated by risk per BFS-ISMS-003 §9.1.</t>
  </si>
  <si>
    <t>Audit trail</t>
  </si>
  <si>
    <t>Brief note on significant changes. Detailed history in Audit Trail sheet.</t>
  </si>
  <si>
    <t>Free-text operational context.</t>
  </si>
  <si>
    <t>External</t>
  </si>
  <si>
    <t>Reserved for external auditor observations during certification audits.</t>
  </si>
  <si>
    <t>General remarks parallel to Risk Register Remarks column.</t>
  </si>
  <si>
    <t>Implementation Status Definitions</t>
  </si>
  <si>
    <t>Definition</t>
  </si>
  <si>
    <t>3 Defined</t>
  </si>
  <si>
    <t>Control fully implemented per defined policy/procedure. Evidence available. Operating consistently. Verified within last 12 months.</t>
  </si>
  <si>
    <t>2 Managed</t>
  </si>
  <si>
    <t>Control implementation in progress or partial. Some evidence available. May have gaps in scope or consistency. Target date documented for full implementation.</t>
  </si>
  <si>
    <t>1 Initial</t>
  </si>
  <si>
    <t>Control implementation planned but not yet operational. Target date documented. Compensating controls may apply.</t>
  </si>
  <si>
    <t>0 None</t>
  </si>
  <si>
    <t>Control not implemented despite Applicable determination. Significant gap requiring CISO attention and risk treatment plan.</t>
  </si>
  <si>
    <t>ISO 27001:2022 Annex A Themes</t>
  </si>
  <si>
    <t>Controls</t>
  </si>
  <si>
    <t>Description</t>
  </si>
  <si>
    <t>37 (A.5.1-A.5.37)</t>
  </si>
  <si>
    <t>Governance, policies, accountability, supplier relationships, incident management, continuity, legal/compliance.</t>
  </si>
  <si>
    <t>8 (A.6.1-A.6.8)</t>
  </si>
  <si>
    <t>Personnel security, screening, training, agreements, disciplinary process, remote working, reporting.</t>
  </si>
  <si>
    <t>14 (A.7.1-A.7.14)</t>
  </si>
  <si>
    <t>Physical perimeters, entry controls, securing offices, monitoring, equipment placement, utilities, cabling, maintenance, off-premises assets, secure disposal.</t>
  </si>
  <si>
    <t>34 (A.8.1-A.8.34)</t>
  </si>
  <si>
    <t>Endpoint devices, access controls, identity management, authentication, capacity, malware, vulnerabilities, configuration, data masking, leakage, backup, redundancy, logging, monitoring, networks, cryptography, secure development, application security, code, change management.</t>
  </si>
  <si>
    <t>BFS-RISK-2026-0022</t>
  </si>
  <si>
    <t>v1.0 Apr-2026 — Initial SoA</t>
  </si>
  <si>
    <t>2026-Q4 / 2027-Q1</t>
  </si>
  <si>
    <t>BFS-RISK-2026-0001,0002,0006</t>
  </si>
  <si>
    <t>BFS-RISK-2026-0001,0002,0006,0029,0030</t>
  </si>
  <si>
    <t>BFS-RISK-2026-0026</t>
  </si>
  <si>
    <t>BFS-RISK-2026-0011,0043</t>
  </si>
  <si>
    <t>BFS-RISK-2026-0009,0011,0029,0030</t>
  </si>
  <si>
    <t>BFS-RISK-2026-0012</t>
  </si>
  <si>
    <t>BFS-RISK-2026-0011,0020,0038,0043</t>
  </si>
  <si>
    <t>BFS-RISK-2026-0011,0020,0038</t>
  </si>
  <si>
    <t>BFS-RISK-2026-0009,0011,0038</t>
  </si>
  <si>
    <t>BFS-RISK-2026-0004,0010,0042</t>
  </si>
  <si>
    <t>BFS-RISK-2026-0004,0010,0012,0042</t>
  </si>
  <si>
    <t>BFS-RISK-2026-0010,0012</t>
  </si>
  <si>
    <t>BFS-RISK-2026-0014,0015,0017,0018</t>
  </si>
  <si>
    <t>BFS-RISK-2026-0014,0015,0017</t>
  </si>
  <si>
    <t>BFS-RISK-2026-0006,0014,0015,0017</t>
  </si>
  <si>
    <t>BFS-RISK-2026-0014,0016,0041,0042,0043</t>
  </si>
  <si>
    <t>BFS-RISK-2026-0024,0026,0044,0045</t>
  </si>
  <si>
    <t>BFS-RISK-2026-0024,0044</t>
  </si>
  <si>
    <t>BFS-RISK-2026-0001,0024</t>
  </si>
  <si>
    <t>BFS-RISK-2026-0024,0026</t>
  </si>
  <si>
    <t>BFS-RISK-2026-0024</t>
  </si>
  <si>
    <t>BFS-RISK-2026-0024,0035,0044,0045</t>
  </si>
  <si>
    <t>BFS-RISK-2026-0024,0044,0045</t>
  </si>
  <si>
    <t>BFS-RISK-2026-0019,0020,0021,0022,0023</t>
  </si>
  <si>
    <t>BFS-RISK-2026-0019,0028</t>
  </si>
  <si>
    <t>BFS-RISK-2026-0011,0028</t>
  </si>
  <si>
    <t>BFS-RISK-2026-0020,0038,0039,0040</t>
  </si>
  <si>
    <t>BFS-RISK-2026-0009,0010,0012</t>
  </si>
  <si>
    <t>BFS-RISK-2026-0009,0012</t>
  </si>
  <si>
    <t>BFS-RISK-2026-0004,0011,0029,0034</t>
  </si>
  <si>
    <t>BFS-RISK-2026-0009,0010,0012,0013</t>
  </si>
  <si>
    <t>BFS-RISK-2026-0009,0020,0040</t>
  </si>
  <si>
    <t>BFS-RISK-2026-0011</t>
  </si>
  <si>
    <t>BFS-RISK-2026-0001,0002,0009</t>
  </si>
  <si>
    <t>BFS-RISK-2026-0035,0036</t>
  </si>
  <si>
    <t>BFS-RISK-2026-0036,0037</t>
  </si>
  <si>
    <t>BFS-RISK-2026-0035,0036,0044</t>
  </si>
  <si>
    <t>BFS-RISK-2026-0011,0036</t>
  </si>
  <si>
    <t>BFS-RISK-2026-0035</t>
  </si>
  <si>
    <t>BFS-RISK-2026-0035,0037</t>
  </si>
  <si>
    <t>BFS-RISK-2026-0035,0044,0045</t>
  </si>
  <si>
    <t>BFS-RISK-2026-0011,0037</t>
  </si>
  <si>
    <t>BFS-RISK-2026-0009,0010,0011</t>
  </si>
  <si>
    <t>BFS-RISK-2026-0010,0042</t>
  </si>
  <si>
    <t>BFS-RISK-2026-0009,0010,0042</t>
  </si>
  <si>
    <t>BFS-RISK-2026-0004,0010,0034,0042</t>
  </si>
  <si>
    <t>BFS-RISK-2026-0024,0025</t>
  </si>
  <si>
    <t>BFS-RISK-2026-0001,0004</t>
  </si>
  <si>
    <t>BFS-RISK-2026-0001,0006,0021</t>
  </si>
  <si>
    <t>BFS-RISK-2026-0041</t>
  </si>
  <si>
    <t>BFS-RISK-2026-0020,0040</t>
  </si>
  <si>
    <t>BFS-RISK-2026-0020</t>
  </si>
  <si>
    <t>BFS-RISK-2026-0009,0011</t>
  </si>
  <si>
    <t>BFS-RISK-2026-0001,0024,0044</t>
  </si>
  <si>
    <t>BFS-RISK-2026-0028</t>
  </si>
  <si>
    <t>BFS-RISK-2026-0001,0009,0010,0028</t>
  </si>
  <si>
    <t>BFS-RISK-2026-0010,0011</t>
  </si>
  <si>
    <t>BFS-RISK-2026-0026,0041</t>
  </si>
  <si>
    <t>BFS-RISK-2026-0001,0003</t>
  </si>
  <si>
    <t>BFS-RISK-2026-0001,0006</t>
  </si>
  <si>
    <t>BFS-RISK-2026-0001,0010</t>
  </si>
  <si>
    <t>BFS-RISK-2026-0001</t>
  </si>
  <si>
    <t>BFS-RISK-2026-0020,0033</t>
  </si>
  <si>
    <t>BFS-RISK-2026-0006,0026</t>
  </si>
  <si>
    <t>BFS-RISK-2026-0005,0006</t>
  </si>
  <si>
    <t>BFS-RISK-2026-0006,0024</t>
  </si>
  <si>
    <t>BFS-RISK-2026-0005,0006,0026</t>
  </si>
  <si>
    <t>BFS-RISK-2026-0005,0021,0026</t>
  </si>
  <si>
    <t>BFS-RISK-2026-0006,0021</t>
  </si>
  <si>
    <t>BFS-RISK-2026-0026,0035</t>
  </si>
  <si>
    <t>BFS-RISK-2026-0020,0021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</si>
</sst>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 x14ac:knownFonts="1">
    <font>
      <sz val="11"/>
      <color theme="1"/>
      <name val="Calibri"/>
      <family val="2"/>
      <charset val="1"/>
    </font>
    <font>
      <b/>
      <sz val="12"/>
      <color rgb="FFC8A951"/>
      <name val="Arial"/>
      <charset val="1"/>
    </font>
    <font>
      <b/>
      <sz val="28"/>
      <color rgb="FF1B3A6B"/>
      <name val="Arial"/>
      <charset val="1"/>
    </font>
    <font>
      <sz val="12"/>
      <color rgb="FF2E5FA3"/>
      <name val="Arial"/>
      <charset val="1"/>
    </font>
    <font>
      <b/>
      <sz val="10"/>
      <color rgb="FF1B3A6B"/>
      <name val="Arial"/>
      <charset val="1"/>
    </font>
    <font>
      <sz val="10"/>
      <color rgb="FF000000"/>
      <name val="Arial"/>
      <charset val="1"/>
    </font>
    <font>
      <i/>
      <sz val="9"/>
      <color rgb="FF595959"/>
      <name val="Arial"/>
      <charset val="1"/>
    </font>
    <font>
      <b/>
      <sz val="14"/>
      <color rgb="FFFFFFFF"/>
      <name val="Arial"/>
      <charset val="1"/>
    </font>
    <font>
      <b/>
      <sz val="10"/>
      <color rgb="FFFFFFFF"/>
      <name val="Arial"/>
      <charset val="1"/>
    </font>
    <font>
      <b/>
      <sz val="10"/>
      <color rgb="FF000000"/>
      <name val="Arial"/>
      <charset val="1"/>
    </font>
    <font>
      <sz val="11"/>
      <color rgb="FFFFFFFF"/>
      <name val="Arial"/>
      <charset val="1"/>
    </font>
    <font>
      <sz val="11"/>
      <color rgb="FF000000"/>
      <name val="Arial"/>
      <charset val="1"/>
    </font>
    <font>
      <b/>
      <sz val="11"/>
      <color rgb="FFFFFFFF"/>
      <name val="Arial"/>
      <charset val="1"/>
    </font>
    <font>
      <i/>
      <sz val="11"/>
      <color rgb="FF595959"/>
      <name val="Arial"/>
      <charset val="1"/>
    </font>
    <font>
      <b/>
      <sz val="11"/>
      <color rgb="FF000000"/>
      <name val="Arial"/>
      <charset val="1"/>
    </font>
  </fonts>
  <fills count="14">
    <fill>
      <patternFill patternType="none"/>
    </fill>
    <fill>
      <patternFill patternType="gray125"/>
    </fill>
    <fill>
      <patternFill patternType="solid">
        <fgColor rgb="FF1B3A6B"/>
        <bgColor rgb="FF333399"/>
      </patternFill>
    </fill>
    <fill>
      <patternFill patternType="solid">
        <fgColor rgb="FFD6E4F0"/>
        <bgColor rgb="FFD9D9D9"/>
      </patternFill>
    </fill>
    <fill>
      <patternFill patternType="solid">
        <fgColor rgb="FFC6E0B4"/>
        <bgColor rgb="FFD9D9D9"/>
      </patternFill>
    </fill>
    <fill>
      <patternFill patternType="solid">
        <fgColor rgb="FFBDD7EE"/>
        <bgColor rgb="FFD9D9D9"/>
      </patternFill>
    </fill>
    <fill>
      <patternFill patternType="solid">
        <fgColor rgb="FF70AD47"/>
        <bgColor rgb="FF339966"/>
      </patternFill>
    </fill>
    <fill>
      <patternFill patternType="solid">
        <fgColor rgb="FFF2F2F2"/>
        <bgColor rgb="FFFFFFFF"/>
      </patternFill>
    </fill>
    <fill>
      <patternFill patternType="solid">
        <fgColor rgb="FFFFC000"/>
        <bgColor rgb="FFC8A951"/>
      </patternFill>
    </fill>
    <fill>
      <patternFill patternType="solid">
        <fgColor rgb="FFED7D31"/>
        <bgColor rgb="FFFF8080"/>
      </patternFill>
    </fill>
    <fill>
      <patternFill patternType="solid">
        <fgColor rgb="FFFFE699"/>
        <bgColor rgb="FFD9D9D9"/>
      </patternFill>
    </fill>
    <fill>
      <patternFill patternType="solid">
        <fgColor rgb="FFF4B084"/>
        <bgColor rgb="FFC8A951"/>
      </patternFill>
    </fill>
    <fill>
      <patternFill patternType="solid">
        <fgColor rgb="FFC00000"/>
        <bgColor rgb="FF800000"/>
      </patternFill>
    </fill>
    <fill>
      <patternFill patternType="solid">
        <fgColor rgb="FFD9D9D9"/>
        <bgColor rgb="FFD6E4F0"/>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medium">
        <color rgb="FF1B3A6B"/>
      </top>
      <bottom style="medium">
        <color rgb="FF1B3A6B"/>
      </bottom>
      <diagonal/>
    </border>
  </borders>
  <cellStyleXfs count="1">
    <xf numFmtId="0" fontId="0" fillId="0" borderId="0"/>
  </cellStyleXfs>
  <cellXfs count="55">
    <xf numFmtId="0" fontId="0" fillId="0" borderId="0" xfId="0"/>
    <xf numFmtId="0" fontId="13" fillId="0" borderId="0" xfId="0" applyFont="1" applyBorder="1" applyAlignment="1">
      <alignment horizontal="center" vertical="center" wrapText="1"/>
    </xf>
    <xf numFmtId="0" fontId="7" fillId="2" borderId="0" xfId="0" applyFont="1" applyFill="1" applyBorder="1" applyAlignment="1">
      <alignment horizontal="center" vertical="center" wrapText="1"/>
    </xf>
    <xf numFmtId="0" fontId="6" fillId="0" borderId="0" xfId="0" applyFont="1" applyBorder="1" applyAlignment="1">
      <alignment horizontal="center" vertical="center" wrapText="1"/>
    </xf>
    <xf numFmtId="0" fontId="5"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3" fillId="0" borderId="0" xfId="0" applyFont="1" applyBorder="1" applyAlignment="1">
      <alignment horizontal="center" vertical="center" wrapText="1"/>
    </xf>
    <xf numFmtId="0" fontId="2" fillId="0" borderId="0" xfId="0" applyFont="1" applyBorder="1" applyAlignment="1">
      <alignment horizontal="center" vertical="center" wrapText="1"/>
    </xf>
    <xf numFmtId="0" fontId="1" fillId="2" borderId="0"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8" fillId="2" borderId="2"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9"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top" wrapText="1"/>
    </xf>
    <xf numFmtId="0" fontId="9"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164" fontId="5" fillId="0" borderId="1" xfId="0" applyNumberFormat="1" applyFont="1" applyBorder="1" applyAlignment="1">
      <alignment horizontal="center" vertical="center" wrapText="1"/>
    </xf>
    <xf numFmtId="0" fontId="10" fillId="6"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11" fillId="8"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0" fillId="2" borderId="1" xfId="0" applyFill="1" applyBorder="1"/>
    <xf numFmtId="0" fontId="5" fillId="13"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0" fillId="0" borderId="1" xfId="0" applyBorder="1"/>
    <xf numFmtId="0" fontId="12"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4" fillId="8"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17" fontId="5" fillId="0" borderId="1" xfId="0" applyNumberFormat="1" applyFont="1" applyBorder="1" applyAlignment="1">
      <alignment horizontal="center" vertical="center" wrapText="1"/>
    </xf>
    <xf numFmtId="17" fontId="5" fillId="7" borderId="1" xfId="0" applyNumberFormat="1" applyFont="1" applyFill="1" applyBorder="1" applyAlignment="1">
      <alignment horizontal="center" vertical="center" wrapText="1"/>
    </xf>
    <xf numFmtId="17" fontId="5" fillId="0" borderId="1" xfId="0" applyNumberFormat="1" applyFont="1" applyBorder="1" applyAlignment="1">
      <alignment horizontal="left" vertical="center" wrapText="1"/>
    </xf>
    <xf numFmtId="14" fontId="5"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2F2F2"/>
      <rgbColor rgb="FFD6E4F0"/>
      <rgbColor rgb="FF660066"/>
      <rgbColor rgb="FFFF8080"/>
      <rgbColor rgb="FF2E5FA3"/>
      <rgbColor rgb="FFBDD7EE"/>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084"/>
      <rgbColor rgb="FF3366FF"/>
      <rgbColor rgb="FF33CCCC"/>
      <rgbColor rgb="FF99CC00"/>
      <rgbColor rgb="FFFFC000"/>
      <rgbColor rgb="FFC8A951"/>
      <rgbColor rgb="FFED7D31"/>
      <rgbColor rgb="FF595959"/>
      <rgbColor rgb="FF70AD47"/>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SoARegister" displayName="SoARegister" ref="A3:AN96" totalsRowShown="0">
  <autoFilter ref="A3:AN96"/>
  <tableColumns count="40">
    <tableColumn id="1" name="Ctrl ID"/>
    <tableColumn id="2" name="Control Title"/>
    <tableColumn id="3" name="Applicable?"/>
    <tableColumn id="4" name="Justification &amp; BFS Implementation Context"/>
    <tableColumn id="5" name="Primary Implementation Reference"/>
    <tableColumn id="6" name="Control Theme"/>
    <tableColumn id="7" name="Control Type"/>
    <tableColumn id="8" name="Information Security Properties (CIA)"/>
    <tableColumn id="9" name="Cybersecurity Concept (NIST CSF)"/>
    <tableColumn id="10" name="Operational Capability"/>
    <tableColumn id="11" name="Security Domain"/>
    <tableColumn id="12" name="Implementation Status"/>
    <tableColumn id="13" name="Maturity Level (1-5)"/>
    <tableColumn id="14" name="Implementation Date"/>
    <tableColumn id="15" name="Target Date (Planned/Partial)"/>
    <tableColumn id="16" name="Control Owner (Named)"/>
    <tableColumn id="17" name="Control Operator (Function)"/>
    <tableColumn id="18" name="Approver (Last Approval)"/>
    <tableColumn id="19" name="Primary Evidence Type"/>
    <tableColumn id="20" name="Evidence Location"/>
    <tableColumn id="21" name="Last Verification Date"/>
    <tableColumn id="22" name="Verification Method"/>
    <tableColumn id="23" name="Verifier"/>
    <tableColumn id="24" name="Last Audit Date"/>
    <tableColumn id="25" name="Open Audit Findings"/>
    <tableColumn id="26" name="Risks Mitigated (Risk IDs)"/>
    <tableColumn id="27" name="Control Effectiveness"/>
    <tableColumn id="28" name="Compensating Controls"/>
    <tableColumn id="29" name="BSP Circular Reference"/>
    <tableColumn id="30" name="PCI DSS v4.0 Reference"/>
    <tableColumn id="31" name="RA 10173 Reference"/>
    <tableColumn id="32" name="NIST CSF 2.0 Reference"/>
    <tableColumn id="33" name="Other Standards"/>
    <tableColumn id="34" name="Last Reviewed Date"/>
    <tableColumn id="35" name="Next Review Date"/>
    <tableColumn id="36" name="Review Cycle"/>
    <tableColumn id="37" name="Change History"/>
    <tableColumn id="38" name="Implementation Notes"/>
    <tableColumn id="39" name="Auditor Notes"/>
    <tableColumn id="40" name="Remark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showGridLines="0" topLeftCell="A10" zoomScaleNormal="100" workbookViewId="0">
      <selection sqref="A1:J3"/>
    </sheetView>
  </sheetViews>
  <sheetFormatPr defaultColWidth="8.7109375" defaultRowHeight="15" x14ac:dyDescent="0.25"/>
  <cols>
    <col min="1" max="10" width="12" customWidth="1"/>
  </cols>
  <sheetData>
    <row r="1" spans="1:10" ht="15" customHeight="1" x14ac:dyDescent="0.25">
      <c r="A1" s="8" t="s">
        <v>0</v>
      </c>
      <c r="B1" s="8"/>
      <c r="C1" s="8"/>
      <c r="D1" s="8"/>
      <c r="E1" s="8"/>
      <c r="F1" s="8"/>
      <c r="G1" s="8"/>
      <c r="H1" s="8"/>
      <c r="I1" s="8"/>
      <c r="J1" s="8"/>
    </row>
    <row r="2" spans="1:10" x14ac:dyDescent="0.25">
      <c r="A2" s="8"/>
      <c r="B2" s="8"/>
      <c r="C2" s="8"/>
      <c r="D2" s="8"/>
      <c r="E2" s="8"/>
      <c r="F2" s="8"/>
      <c r="G2" s="8"/>
      <c r="H2" s="8"/>
      <c r="I2" s="8"/>
      <c r="J2" s="8"/>
    </row>
    <row r="3" spans="1:10" x14ac:dyDescent="0.25">
      <c r="A3" s="8"/>
      <c r="B3" s="8"/>
      <c r="C3" s="8"/>
      <c r="D3" s="8"/>
      <c r="E3" s="8"/>
      <c r="F3" s="8"/>
      <c r="G3" s="8"/>
      <c r="H3" s="8"/>
      <c r="I3" s="8"/>
      <c r="J3" s="8"/>
    </row>
    <row r="5" spans="1:10" ht="15" customHeight="1" x14ac:dyDescent="0.25">
      <c r="A5" s="7" t="s">
        <v>1</v>
      </c>
      <c r="B5" s="7"/>
      <c r="C5" s="7"/>
      <c r="D5" s="7"/>
      <c r="E5" s="7"/>
      <c r="F5" s="7"/>
      <c r="G5" s="7"/>
      <c r="H5" s="7"/>
      <c r="I5" s="7"/>
      <c r="J5" s="7"/>
    </row>
    <row r="6" spans="1:10" x14ac:dyDescent="0.25">
      <c r="A6" s="7"/>
      <c r="B6" s="7"/>
      <c r="C6" s="7"/>
      <c r="D6" s="7"/>
      <c r="E6" s="7"/>
      <c r="F6" s="7"/>
      <c r="G6" s="7"/>
      <c r="H6" s="7"/>
      <c r="I6" s="7"/>
      <c r="J6" s="7"/>
    </row>
    <row r="7" spans="1:10" x14ac:dyDescent="0.25">
      <c r="A7" s="7"/>
      <c r="B7" s="7"/>
      <c r="C7" s="7"/>
      <c r="D7" s="7"/>
      <c r="E7" s="7"/>
      <c r="F7" s="7"/>
      <c r="G7" s="7"/>
      <c r="H7" s="7"/>
      <c r="I7" s="7"/>
      <c r="J7" s="7"/>
    </row>
    <row r="8" spans="1:10" x14ac:dyDescent="0.25">
      <c r="A8" s="7"/>
      <c r="B8" s="7"/>
      <c r="C8" s="7"/>
      <c r="D8" s="7"/>
      <c r="E8" s="7"/>
      <c r="F8" s="7"/>
      <c r="G8" s="7"/>
      <c r="H8" s="7"/>
      <c r="I8" s="7"/>
      <c r="J8" s="7"/>
    </row>
    <row r="9" spans="1:10" x14ac:dyDescent="0.25">
      <c r="A9" s="7"/>
      <c r="B9" s="7"/>
      <c r="C9" s="7"/>
      <c r="D9" s="7"/>
      <c r="E9" s="7"/>
      <c r="F9" s="7"/>
      <c r="G9" s="7"/>
      <c r="H9" s="7"/>
      <c r="I9" s="7"/>
      <c r="J9" s="7"/>
    </row>
    <row r="11" spans="1:10" ht="15" customHeight="1" x14ac:dyDescent="0.25">
      <c r="A11" s="6" t="s">
        <v>2</v>
      </c>
      <c r="B11" s="6"/>
      <c r="C11" s="6"/>
      <c r="D11" s="6"/>
      <c r="E11" s="6"/>
      <c r="F11" s="6"/>
      <c r="G11" s="6"/>
      <c r="H11" s="6"/>
      <c r="I11" s="6"/>
      <c r="J11" s="6"/>
    </row>
    <row r="12" spans="1:10" x14ac:dyDescent="0.25">
      <c r="A12" s="6"/>
      <c r="B12" s="6"/>
      <c r="C12" s="6"/>
      <c r="D12" s="6"/>
      <c r="E12" s="6"/>
      <c r="F12" s="6"/>
      <c r="G12" s="6"/>
      <c r="H12" s="6"/>
      <c r="I12" s="6"/>
      <c r="J12" s="6"/>
    </row>
    <row r="13" spans="1:10" x14ac:dyDescent="0.25">
      <c r="A13" s="6"/>
      <c r="B13" s="6"/>
      <c r="C13" s="6"/>
      <c r="D13" s="6"/>
      <c r="E13" s="6"/>
      <c r="F13" s="6"/>
      <c r="G13" s="6"/>
      <c r="H13" s="6"/>
      <c r="I13" s="6"/>
      <c r="J13" s="6"/>
    </row>
    <row r="14" spans="1:10" x14ac:dyDescent="0.25">
      <c r="A14" s="6"/>
      <c r="B14" s="6"/>
      <c r="C14" s="6"/>
      <c r="D14" s="6"/>
      <c r="E14" s="6"/>
      <c r="F14" s="6"/>
      <c r="G14" s="6"/>
      <c r="H14" s="6"/>
      <c r="I14" s="6"/>
      <c r="J14" s="6"/>
    </row>
    <row r="17" spans="2:9" ht="31.5" customHeight="1" x14ac:dyDescent="0.25">
      <c r="B17" s="5" t="s">
        <v>3</v>
      </c>
      <c r="C17" s="5"/>
      <c r="D17" s="4" t="s">
        <v>4</v>
      </c>
      <c r="E17" s="4"/>
      <c r="F17" s="4"/>
      <c r="G17" s="4"/>
      <c r="H17" s="4"/>
      <c r="I17" s="4"/>
    </row>
    <row r="18" spans="2:9" ht="31.5" customHeight="1" x14ac:dyDescent="0.25">
      <c r="B18" s="5" t="s">
        <v>5</v>
      </c>
      <c r="C18" s="5"/>
      <c r="D18" s="4" t="s">
        <v>6</v>
      </c>
      <c r="E18" s="4"/>
      <c r="F18" s="4"/>
      <c r="G18" s="4"/>
      <c r="H18" s="4"/>
      <c r="I18" s="4"/>
    </row>
    <row r="19" spans="2:9" ht="31.5" customHeight="1" x14ac:dyDescent="0.25">
      <c r="B19" s="5" t="s">
        <v>7</v>
      </c>
      <c r="C19" s="5"/>
      <c r="D19" s="4" t="s">
        <v>8</v>
      </c>
      <c r="E19" s="4"/>
      <c r="F19" s="4"/>
      <c r="G19" s="4"/>
      <c r="H19" s="4"/>
      <c r="I19" s="4"/>
    </row>
    <row r="20" spans="2:9" ht="31.5" customHeight="1" x14ac:dyDescent="0.25">
      <c r="B20" s="5" t="s">
        <v>9</v>
      </c>
      <c r="C20" s="5"/>
      <c r="D20" s="4" t="s">
        <v>10</v>
      </c>
      <c r="E20" s="4"/>
      <c r="F20" s="4"/>
      <c r="G20" s="4"/>
      <c r="H20" s="4"/>
      <c r="I20" s="4"/>
    </row>
    <row r="21" spans="2:9" ht="31.5" customHeight="1" x14ac:dyDescent="0.25">
      <c r="B21" s="5" t="s">
        <v>11</v>
      </c>
      <c r="C21" s="5"/>
      <c r="D21" s="4" t="s">
        <v>12</v>
      </c>
      <c r="E21" s="4"/>
      <c r="F21" s="4"/>
      <c r="G21" s="4"/>
      <c r="H21" s="4"/>
      <c r="I21" s="4"/>
    </row>
    <row r="22" spans="2:9" ht="31.5" customHeight="1" x14ac:dyDescent="0.25">
      <c r="B22" s="5" t="s">
        <v>13</v>
      </c>
      <c r="C22" s="5"/>
      <c r="D22" s="53">
        <v>46113</v>
      </c>
      <c r="E22" s="4"/>
      <c r="F22" s="4"/>
      <c r="G22" s="4"/>
      <c r="H22" s="4"/>
      <c r="I22" s="4"/>
    </row>
    <row r="23" spans="2:9" ht="31.5" customHeight="1" x14ac:dyDescent="0.25">
      <c r="B23" s="5" t="s">
        <v>14</v>
      </c>
      <c r="C23" s="5"/>
      <c r="D23" s="4" t="s">
        <v>15</v>
      </c>
      <c r="E23" s="4"/>
      <c r="F23" s="4"/>
      <c r="G23" s="4"/>
      <c r="H23" s="4"/>
      <c r="I23" s="4"/>
    </row>
    <row r="24" spans="2:9" ht="31.5" customHeight="1" x14ac:dyDescent="0.25">
      <c r="B24" s="5" t="s">
        <v>16</v>
      </c>
      <c r="C24" s="5"/>
      <c r="D24" s="4" t="s">
        <v>17</v>
      </c>
      <c r="E24" s="4"/>
      <c r="F24" s="4"/>
      <c r="G24" s="4"/>
      <c r="H24" s="4"/>
      <c r="I24" s="4"/>
    </row>
    <row r="25" spans="2:9" ht="31.5" customHeight="1" x14ac:dyDescent="0.25">
      <c r="B25" s="5" t="s">
        <v>18</v>
      </c>
      <c r="C25" s="5"/>
      <c r="D25" s="4" t="s">
        <v>19</v>
      </c>
      <c r="E25" s="4"/>
      <c r="F25" s="4"/>
      <c r="G25" s="4"/>
      <c r="H25" s="4"/>
      <c r="I25" s="4"/>
    </row>
    <row r="26" spans="2:9" ht="31.5" customHeight="1" x14ac:dyDescent="0.25">
      <c r="B26" s="5" t="s">
        <v>20</v>
      </c>
      <c r="C26" s="5"/>
      <c r="D26" s="4" t="s">
        <v>21</v>
      </c>
      <c r="E26" s="4"/>
      <c r="F26" s="4"/>
      <c r="G26" s="4"/>
      <c r="H26" s="4"/>
      <c r="I26" s="4"/>
    </row>
    <row r="27" spans="2:9" ht="31.5" customHeight="1" x14ac:dyDescent="0.25">
      <c r="B27" s="5" t="s">
        <v>22</v>
      </c>
      <c r="C27" s="5"/>
      <c r="D27" s="4" t="s">
        <v>23</v>
      </c>
      <c r="E27" s="4"/>
      <c r="F27" s="4"/>
      <c r="G27" s="4"/>
      <c r="H27" s="4"/>
      <c r="I27" s="4"/>
    </row>
    <row r="28" spans="2:9" ht="31.5" customHeight="1" x14ac:dyDescent="0.25">
      <c r="B28" s="5" t="s">
        <v>24</v>
      </c>
      <c r="C28" s="5"/>
      <c r="D28" s="4" t="s">
        <v>25</v>
      </c>
      <c r="E28" s="4"/>
      <c r="F28" s="4"/>
      <c r="G28" s="4"/>
      <c r="H28" s="4"/>
      <c r="I28" s="4"/>
    </row>
    <row r="29" spans="2:9" ht="31.5" customHeight="1" x14ac:dyDescent="0.25">
      <c r="B29" s="5" t="s">
        <v>26</v>
      </c>
      <c r="C29" s="5"/>
      <c r="D29" s="4" t="s">
        <v>27</v>
      </c>
      <c r="E29" s="4"/>
      <c r="F29" s="4"/>
      <c r="G29" s="4"/>
      <c r="H29" s="4"/>
      <c r="I29" s="4"/>
    </row>
    <row r="30" spans="2:9" ht="31.5" customHeight="1" x14ac:dyDescent="0.25">
      <c r="B30" s="5" t="s">
        <v>28</v>
      </c>
      <c r="C30" s="5"/>
      <c r="D30" s="4" t="s">
        <v>29</v>
      </c>
      <c r="E30" s="4"/>
      <c r="F30" s="4"/>
      <c r="G30" s="4"/>
      <c r="H30" s="4"/>
      <c r="I30" s="4"/>
    </row>
    <row r="31" spans="2:9" ht="31.5" customHeight="1" x14ac:dyDescent="0.25">
      <c r="B31" s="5" t="s">
        <v>30</v>
      </c>
      <c r="C31" s="5"/>
      <c r="D31" s="4" t="s">
        <v>31</v>
      </c>
      <c r="E31" s="4"/>
      <c r="F31" s="4"/>
      <c r="G31" s="4"/>
      <c r="H31" s="4"/>
      <c r="I31" s="4"/>
    </row>
    <row r="32" spans="2:9" ht="31.5" customHeight="1" x14ac:dyDescent="0.25">
      <c r="B32" s="5" t="s">
        <v>32</v>
      </c>
      <c r="C32" s="5"/>
      <c r="D32" s="4" t="s">
        <v>33</v>
      </c>
      <c r="E32" s="4"/>
      <c r="F32" s="4"/>
      <c r="G32" s="4"/>
      <c r="H32" s="4"/>
      <c r="I32" s="4"/>
    </row>
    <row r="33" spans="1:10" ht="31.5" customHeight="1" x14ac:dyDescent="0.25">
      <c r="B33" s="5" t="s">
        <v>34</v>
      </c>
      <c r="C33" s="5"/>
      <c r="D33" s="4" t="s">
        <v>35</v>
      </c>
      <c r="E33" s="4"/>
      <c r="F33" s="4"/>
      <c r="G33" s="4"/>
      <c r="H33" s="4"/>
      <c r="I33" s="4"/>
    </row>
    <row r="37" spans="1:10" ht="15" customHeight="1" x14ac:dyDescent="0.25">
      <c r="A37" s="3" t="s">
        <v>36</v>
      </c>
      <c r="B37" s="3"/>
      <c r="C37" s="3"/>
      <c r="D37" s="3"/>
      <c r="E37" s="3"/>
      <c r="F37" s="3"/>
      <c r="G37" s="3"/>
      <c r="H37" s="3"/>
      <c r="I37" s="3"/>
      <c r="J37" s="3"/>
    </row>
  </sheetData>
  <mergeCells count="38">
    <mergeCell ref="B33:C33"/>
    <mergeCell ref="D33:I33"/>
    <mergeCell ref="A37:J37"/>
    <mergeCell ref="B30:C30"/>
    <mergeCell ref="D30:I30"/>
    <mergeCell ref="B31:C31"/>
    <mergeCell ref="D31:I31"/>
    <mergeCell ref="B32:C32"/>
    <mergeCell ref="D32:I32"/>
    <mergeCell ref="B27:C27"/>
    <mergeCell ref="D27:I27"/>
    <mergeCell ref="B28:C28"/>
    <mergeCell ref="D28:I28"/>
    <mergeCell ref="B29:C29"/>
    <mergeCell ref="D29:I29"/>
    <mergeCell ref="B24:C24"/>
    <mergeCell ref="D24:I24"/>
    <mergeCell ref="B25:C25"/>
    <mergeCell ref="D25:I25"/>
    <mergeCell ref="B26:C26"/>
    <mergeCell ref="D26:I26"/>
    <mergeCell ref="B21:C21"/>
    <mergeCell ref="D21:I21"/>
    <mergeCell ref="B22:C22"/>
    <mergeCell ref="D22:I22"/>
    <mergeCell ref="B23:C23"/>
    <mergeCell ref="D23:I23"/>
    <mergeCell ref="B18:C18"/>
    <mergeCell ref="D18:I18"/>
    <mergeCell ref="B19:C19"/>
    <mergeCell ref="D19:I19"/>
    <mergeCell ref="B20:C20"/>
    <mergeCell ref="D20:I20"/>
    <mergeCell ref="A1:J3"/>
    <mergeCell ref="A5:J9"/>
    <mergeCell ref="A11:J14"/>
    <mergeCell ref="B17:C17"/>
    <mergeCell ref="D17:I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96"/>
  <sheetViews>
    <sheetView showGridLines="0" tabSelected="1" zoomScaleNormal="100" workbookViewId="0">
      <pane xSplit="2" ySplit="3" topLeftCell="J4" activePane="bottomRight" state="frozen"/>
      <selection pane="topRight" activeCell="C1" sqref="C1"/>
      <selection pane="bottomLeft" activeCell="A4" sqref="A4"/>
      <selection pane="bottomRight" sqref="A1:XFD1048576"/>
    </sheetView>
  </sheetViews>
  <sheetFormatPr defaultColWidth="8.7109375" defaultRowHeight="15" x14ac:dyDescent="0.25"/>
  <cols>
    <col min="1" max="1" width="9" customWidth="1"/>
    <col min="2" max="2" width="35" customWidth="1"/>
    <col min="3" max="3" width="12" customWidth="1"/>
    <col min="4" max="4" width="70" customWidth="1"/>
    <col min="5" max="5" width="35" customWidth="1"/>
    <col min="6" max="6" width="18" customWidth="1"/>
    <col min="7" max="7" width="22" customWidth="1"/>
    <col min="8" max="8" width="28" customWidth="1"/>
    <col min="9" max="9" width="30" customWidth="1"/>
    <col min="10" max="10" width="32" customWidth="1"/>
    <col min="11" max="11" width="30" customWidth="1"/>
    <col min="12" max="12" width="18" customWidth="1"/>
    <col min="13" max="13" width="12" customWidth="1"/>
    <col min="14" max="14" width="14" customWidth="1"/>
    <col min="15" max="15" width="20.85546875" customWidth="1"/>
    <col min="16" max="16" width="30" customWidth="1"/>
    <col min="17" max="17" width="26" customWidth="1"/>
    <col min="18" max="19" width="22" customWidth="1"/>
    <col min="20" max="20" width="30" customWidth="1"/>
    <col min="21" max="21" width="14" customWidth="1"/>
    <col min="22" max="22" width="24" customWidth="1"/>
    <col min="23" max="23" width="22" customWidth="1"/>
    <col min="24" max="24" width="14" customWidth="1"/>
    <col min="25" max="25" width="22" customWidth="1"/>
    <col min="26" max="26" width="28" customWidth="1"/>
    <col min="27" max="27" width="18" customWidth="1"/>
    <col min="28" max="28" width="28" customWidth="1"/>
    <col min="29" max="29" width="25" customWidth="1"/>
    <col min="30" max="30" width="18" customWidth="1"/>
    <col min="31" max="31" width="20" customWidth="1"/>
    <col min="32" max="32" width="22" customWidth="1"/>
    <col min="33" max="33" width="18" customWidth="1"/>
    <col min="34" max="36" width="14" customWidth="1"/>
    <col min="37" max="38" width="30" customWidth="1"/>
    <col min="39" max="40" width="25" customWidth="1"/>
  </cols>
  <sheetData>
    <row r="1" spans="1:40" ht="18" x14ac:dyDescent="0.25">
      <c r="A1" s="2" t="s">
        <v>37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row>
    <row r="3" spans="1:40" ht="38.25" x14ac:dyDescent="0.25">
      <c r="A3" s="11" t="s">
        <v>38</v>
      </c>
      <c r="B3" s="11" t="s">
        <v>39</v>
      </c>
      <c r="C3" s="11" t="s">
        <v>40</v>
      </c>
      <c r="D3" s="11" t="s">
        <v>41</v>
      </c>
      <c r="E3" s="11" t="s">
        <v>42</v>
      </c>
      <c r="F3" s="11" t="s">
        <v>43</v>
      </c>
      <c r="G3" s="11" t="s">
        <v>44</v>
      </c>
      <c r="H3" s="11" t="s">
        <v>45</v>
      </c>
      <c r="I3" s="11" t="s">
        <v>46</v>
      </c>
      <c r="J3" s="11" t="s">
        <v>47</v>
      </c>
      <c r="K3" s="11" t="s">
        <v>48</v>
      </c>
      <c r="L3" s="11" t="s">
        <v>49</v>
      </c>
      <c r="M3" s="11" t="s">
        <v>50</v>
      </c>
      <c r="N3" s="11" t="s">
        <v>51</v>
      </c>
      <c r="O3" s="11" t="s">
        <v>52</v>
      </c>
      <c r="P3" s="11" t="s">
        <v>53</v>
      </c>
      <c r="Q3" s="11" t="s">
        <v>54</v>
      </c>
      <c r="R3" s="11" t="s">
        <v>55</v>
      </c>
      <c r="S3" s="11" t="s">
        <v>56</v>
      </c>
      <c r="T3" s="11" t="s">
        <v>57</v>
      </c>
      <c r="U3" s="11" t="s">
        <v>58</v>
      </c>
      <c r="V3" s="11" t="s">
        <v>59</v>
      </c>
      <c r="W3" s="11" t="s">
        <v>60</v>
      </c>
      <c r="X3" s="11" t="s">
        <v>61</v>
      </c>
      <c r="Y3" s="11" t="s">
        <v>62</v>
      </c>
      <c r="Z3" s="11" t="s">
        <v>63</v>
      </c>
      <c r="AA3" s="11" t="s">
        <v>64</v>
      </c>
      <c r="AB3" s="11" t="s">
        <v>65</v>
      </c>
      <c r="AC3" s="11" t="s">
        <v>66</v>
      </c>
      <c r="AD3" s="11" t="s">
        <v>67</v>
      </c>
      <c r="AE3" s="11" t="s">
        <v>68</v>
      </c>
      <c r="AF3" s="11" t="s">
        <v>69</v>
      </c>
      <c r="AG3" s="11" t="s">
        <v>70</v>
      </c>
      <c r="AH3" s="11" t="s">
        <v>71</v>
      </c>
      <c r="AI3" s="11" t="s">
        <v>72</v>
      </c>
      <c r="AJ3" s="11" t="s">
        <v>73</v>
      </c>
      <c r="AK3" s="11" t="s">
        <v>74</v>
      </c>
      <c r="AL3" s="11" t="s">
        <v>75</v>
      </c>
      <c r="AM3" s="11" t="s">
        <v>76</v>
      </c>
      <c r="AN3" s="11" t="s">
        <v>77</v>
      </c>
    </row>
    <row r="4" spans="1:40" ht="63.75" x14ac:dyDescent="0.25">
      <c r="A4" s="12" t="s">
        <v>78</v>
      </c>
      <c r="B4" s="13" t="s">
        <v>79</v>
      </c>
      <c r="C4" s="14" t="s">
        <v>80</v>
      </c>
      <c r="D4" s="13" t="s">
        <v>81</v>
      </c>
      <c r="E4" s="13" t="s">
        <v>82</v>
      </c>
      <c r="F4" s="15" t="s">
        <v>83</v>
      </c>
      <c r="G4" s="12" t="s">
        <v>84</v>
      </c>
      <c r="H4" s="13" t="s">
        <v>85</v>
      </c>
      <c r="I4" s="13" t="s">
        <v>86</v>
      </c>
      <c r="J4" s="13" t="s">
        <v>87</v>
      </c>
      <c r="K4" s="13" t="s">
        <v>88</v>
      </c>
      <c r="L4" s="16" t="s">
        <v>89</v>
      </c>
      <c r="M4" s="12">
        <v>3</v>
      </c>
      <c r="N4" s="12"/>
      <c r="O4" s="12"/>
      <c r="P4" s="13" t="s">
        <v>90</v>
      </c>
      <c r="Q4" s="13"/>
      <c r="R4" s="12" t="s">
        <v>91</v>
      </c>
      <c r="S4" s="13"/>
      <c r="T4" s="13"/>
      <c r="U4" s="12"/>
      <c r="V4" s="13"/>
      <c r="W4" s="13"/>
      <c r="X4" s="12"/>
      <c r="Y4" s="13"/>
      <c r="Z4" s="13" t="s">
        <v>944</v>
      </c>
      <c r="AA4" s="12" t="s">
        <v>93</v>
      </c>
      <c r="AB4" s="13"/>
      <c r="AC4" s="13" t="s">
        <v>94</v>
      </c>
      <c r="AD4" s="12" t="s">
        <v>95</v>
      </c>
      <c r="AE4" s="12"/>
      <c r="AF4" s="12" t="s">
        <v>96</v>
      </c>
      <c r="AG4" s="13"/>
      <c r="AH4" s="51">
        <v>46113</v>
      </c>
      <c r="AI4" s="51">
        <v>46478</v>
      </c>
      <c r="AJ4" s="12" t="s">
        <v>97</v>
      </c>
      <c r="AK4" s="13" t="s">
        <v>945</v>
      </c>
      <c r="AL4" s="13"/>
      <c r="AM4" s="13"/>
      <c r="AN4" s="13"/>
    </row>
    <row r="5" spans="1:40" ht="51" x14ac:dyDescent="0.25">
      <c r="A5" s="17" t="s">
        <v>98</v>
      </c>
      <c r="B5" s="18" t="s">
        <v>99</v>
      </c>
      <c r="C5" s="14" t="s">
        <v>80</v>
      </c>
      <c r="D5" s="18" t="s">
        <v>100</v>
      </c>
      <c r="E5" s="18" t="s">
        <v>101</v>
      </c>
      <c r="F5" s="15" t="s">
        <v>83</v>
      </c>
      <c r="G5" s="17" t="s">
        <v>84</v>
      </c>
      <c r="H5" s="18" t="s">
        <v>85</v>
      </c>
      <c r="I5" s="18" t="s">
        <v>102</v>
      </c>
      <c r="J5" s="18" t="s">
        <v>87</v>
      </c>
      <c r="K5" s="18" t="s">
        <v>103</v>
      </c>
      <c r="L5" s="16" t="s">
        <v>89</v>
      </c>
      <c r="M5" s="17">
        <v>3</v>
      </c>
      <c r="N5" s="17"/>
      <c r="O5" s="17"/>
      <c r="P5" s="18" t="s">
        <v>90</v>
      </c>
      <c r="Q5" s="18"/>
      <c r="R5" s="17" t="s">
        <v>91</v>
      </c>
      <c r="S5" s="18"/>
      <c r="T5" s="18"/>
      <c r="U5" s="17"/>
      <c r="V5" s="18"/>
      <c r="W5" s="18"/>
      <c r="X5" s="17"/>
      <c r="Y5" s="18"/>
      <c r="Z5" s="18"/>
      <c r="AA5" s="17" t="s">
        <v>93</v>
      </c>
      <c r="AB5" s="18"/>
      <c r="AC5" s="18" t="s">
        <v>104</v>
      </c>
      <c r="AD5" s="17" t="s">
        <v>105</v>
      </c>
      <c r="AE5" s="17"/>
      <c r="AF5" s="17" t="s">
        <v>106</v>
      </c>
      <c r="AG5" s="18"/>
      <c r="AH5" s="52">
        <v>46113</v>
      </c>
      <c r="AI5" s="52">
        <v>46478</v>
      </c>
      <c r="AJ5" s="17" t="s">
        <v>97</v>
      </c>
      <c r="AK5" s="18" t="s">
        <v>945</v>
      </c>
      <c r="AL5" s="18"/>
      <c r="AM5" s="18"/>
      <c r="AN5" s="18"/>
    </row>
    <row r="6" spans="1:40" ht="51" x14ac:dyDescent="0.25">
      <c r="A6" s="12" t="s">
        <v>107</v>
      </c>
      <c r="B6" s="13" t="s">
        <v>108</v>
      </c>
      <c r="C6" s="14" t="s">
        <v>80</v>
      </c>
      <c r="D6" s="13" t="s">
        <v>109</v>
      </c>
      <c r="E6" s="13" t="s">
        <v>110</v>
      </c>
      <c r="F6" s="15" t="s">
        <v>83</v>
      </c>
      <c r="G6" s="12" t="s">
        <v>84</v>
      </c>
      <c r="H6" s="13" t="s">
        <v>85</v>
      </c>
      <c r="I6" s="13" t="s">
        <v>111</v>
      </c>
      <c r="J6" s="13" t="s">
        <v>87</v>
      </c>
      <c r="K6" s="13" t="s">
        <v>103</v>
      </c>
      <c r="L6" s="19" t="s">
        <v>112</v>
      </c>
      <c r="M6" s="12">
        <v>2</v>
      </c>
      <c r="N6" s="12"/>
      <c r="O6" s="12" t="s">
        <v>946</v>
      </c>
      <c r="P6" s="13" t="s">
        <v>113</v>
      </c>
      <c r="Q6" s="13"/>
      <c r="R6" s="12" t="s">
        <v>91</v>
      </c>
      <c r="S6" s="13"/>
      <c r="T6" s="13"/>
      <c r="U6" s="12"/>
      <c r="V6" s="13"/>
      <c r="W6" s="13"/>
      <c r="X6" s="12"/>
      <c r="Y6" s="13"/>
      <c r="Z6" s="13"/>
      <c r="AA6" s="12"/>
      <c r="AB6" s="13" t="s">
        <v>114</v>
      </c>
      <c r="AC6" s="13"/>
      <c r="AD6" s="12" t="s">
        <v>115</v>
      </c>
      <c r="AE6" s="12"/>
      <c r="AF6" s="12" t="s">
        <v>116</v>
      </c>
      <c r="AG6" s="13"/>
      <c r="AH6" s="51">
        <v>46113</v>
      </c>
      <c r="AI6" s="51">
        <v>46478</v>
      </c>
      <c r="AJ6" s="12" t="s">
        <v>97</v>
      </c>
      <c r="AK6" s="13" t="s">
        <v>945</v>
      </c>
      <c r="AL6" s="13"/>
      <c r="AM6" s="13"/>
      <c r="AN6" s="13"/>
    </row>
    <row r="7" spans="1:40" ht="51" x14ac:dyDescent="0.25">
      <c r="A7" s="17" t="s">
        <v>117</v>
      </c>
      <c r="B7" s="18" t="s">
        <v>118</v>
      </c>
      <c r="C7" s="14" t="s">
        <v>80</v>
      </c>
      <c r="D7" s="18" t="s">
        <v>119</v>
      </c>
      <c r="E7" s="18" t="s">
        <v>120</v>
      </c>
      <c r="F7" s="15" t="s">
        <v>83</v>
      </c>
      <c r="G7" s="17" t="s">
        <v>84</v>
      </c>
      <c r="H7" s="18" t="s">
        <v>85</v>
      </c>
      <c r="I7" s="18" t="s">
        <v>102</v>
      </c>
      <c r="J7" s="18" t="s">
        <v>87</v>
      </c>
      <c r="K7" s="18" t="s">
        <v>103</v>
      </c>
      <c r="L7" s="16" t="s">
        <v>89</v>
      </c>
      <c r="M7" s="17">
        <v>3</v>
      </c>
      <c r="N7" s="17"/>
      <c r="O7" s="17"/>
      <c r="P7" s="18" t="s">
        <v>121</v>
      </c>
      <c r="Q7" s="18"/>
      <c r="R7" s="17" t="s">
        <v>91</v>
      </c>
      <c r="S7" s="18"/>
      <c r="T7" s="18"/>
      <c r="U7" s="17"/>
      <c r="V7" s="18"/>
      <c r="W7" s="18"/>
      <c r="X7" s="17"/>
      <c r="Y7" s="18"/>
      <c r="Z7" s="18"/>
      <c r="AA7" s="17" t="s">
        <v>93</v>
      </c>
      <c r="AB7" s="18"/>
      <c r="AC7" s="18" t="s">
        <v>94</v>
      </c>
      <c r="AD7" s="17"/>
      <c r="AE7" s="17"/>
      <c r="AF7" s="17" t="s">
        <v>122</v>
      </c>
      <c r="AG7" s="18"/>
      <c r="AH7" s="52">
        <v>46113</v>
      </c>
      <c r="AI7" s="52">
        <v>46478</v>
      </c>
      <c r="AJ7" s="17" t="s">
        <v>97</v>
      </c>
      <c r="AK7" s="18" t="s">
        <v>945</v>
      </c>
      <c r="AL7" s="18"/>
      <c r="AM7" s="18"/>
      <c r="AN7" s="18"/>
    </row>
    <row r="8" spans="1:40" ht="63.75" x14ac:dyDescent="0.25">
      <c r="A8" s="12" t="s">
        <v>123</v>
      </c>
      <c r="B8" s="13" t="s">
        <v>124</v>
      </c>
      <c r="C8" s="14" t="s">
        <v>80</v>
      </c>
      <c r="D8" s="13" t="s">
        <v>125</v>
      </c>
      <c r="E8" s="13" t="s">
        <v>126</v>
      </c>
      <c r="F8" s="15" t="s">
        <v>83</v>
      </c>
      <c r="G8" s="12" t="s">
        <v>84</v>
      </c>
      <c r="H8" s="13" t="s">
        <v>85</v>
      </c>
      <c r="I8" s="13" t="s">
        <v>86</v>
      </c>
      <c r="J8" s="13" t="s">
        <v>87</v>
      </c>
      <c r="K8" s="13" t="s">
        <v>103</v>
      </c>
      <c r="L8" s="16" t="s">
        <v>89</v>
      </c>
      <c r="M8" s="12">
        <v>3</v>
      </c>
      <c r="N8" s="12"/>
      <c r="O8" s="12"/>
      <c r="P8" s="13" t="s">
        <v>127</v>
      </c>
      <c r="Q8" s="13"/>
      <c r="R8" s="12" t="s">
        <v>91</v>
      </c>
      <c r="S8" s="13"/>
      <c r="T8" s="13"/>
      <c r="U8" s="12"/>
      <c r="V8" s="13"/>
      <c r="W8" s="13"/>
      <c r="X8" s="12"/>
      <c r="Y8" s="13"/>
      <c r="Z8" s="13"/>
      <c r="AA8" s="12" t="s">
        <v>93</v>
      </c>
      <c r="AB8" s="13"/>
      <c r="AC8" s="13" t="s">
        <v>128</v>
      </c>
      <c r="AD8" s="12"/>
      <c r="AE8" s="12" t="s">
        <v>129</v>
      </c>
      <c r="AF8" s="12" t="s">
        <v>130</v>
      </c>
      <c r="AG8" s="13"/>
      <c r="AH8" s="51">
        <v>46113</v>
      </c>
      <c r="AI8" s="51">
        <v>46478</v>
      </c>
      <c r="AJ8" s="12" t="s">
        <v>97</v>
      </c>
      <c r="AK8" s="13" t="s">
        <v>945</v>
      </c>
      <c r="AL8" s="13"/>
      <c r="AM8" s="13"/>
      <c r="AN8" s="13"/>
    </row>
    <row r="9" spans="1:40" ht="51" x14ac:dyDescent="0.25">
      <c r="A9" s="17" t="s">
        <v>131</v>
      </c>
      <c r="B9" s="18" t="s">
        <v>132</v>
      </c>
      <c r="C9" s="14" t="s">
        <v>80</v>
      </c>
      <c r="D9" s="18" t="s">
        <v>133</v>
      </c>
      <c r="E9" s="18" t="s">
        <v>134</v>
      </c>
      <c r="F9" s="15" t="s">
        <v>83</v>
      </c>
      <c r="G9" s="17" t="s">
        <v>84</v>
      </c>
      <c r="H9" s="18" t="s">
        <v>85</v>
      </c>
      <c r="I9" s="18" t="s">
        <v>135</v>
      </c>
      <c r="J9" s="18" t="s">
        <v>87</v>
      </c>
      <c r="K9" s="18" t="s">
        <v>136</v>
      </c>
      <c r="L9" s="16" t="s">
        <v>89</v>
      </c>
      <c r="M9" s="17">
        <v>3</v>
      </c>
      <c r="N9" s="17"/>
      <c r="O9" s="17"/>
      <c r="P9" s="18" t="s">
        <v>137</v>
      </c>
      <c r="Q9" s="18"/>
      <c r="R9" s="17" t="s">
        <v>91</v>
      </c>
      <c r="S9" s="18"/>
      <c r="T9" s="18"/>
      <c r="U9" s="17"/>
      <c r="V9" s="18"/>
      <c r="W9" s="18"/>
      <c r="X9" s="17"/>
      <c r="Y9" s="18"/>
      <c r="Z9" s="18" t="s">
        <v>947</v>
      </c>
      <c r="AA9" s="17" t="s">
        <v>93</v>
      </c>
      <c r="AB9" s="18"/>
      <c r="AC9" s="18" t="s">
        <v>139</v>
      </c>
      <c r="AD9" s="17"/>
      <c r="AE9" s="17"/>
      <c r="AF9" s="17" t="s">
        <v>140</v>
      </c>
      <c r="AG9" s="18"/>
      <c r="AH9" s="52">
        <v>46113</v>
      </c>
      <c r="AI9" s="52">
        <v>46478</v>
      </c>
      <c r="AJ9" s="17" t="s">
        <v>97</v>
      </c>
      <c r="AK9" s="18" t="s">
        <v>945</v>
      </c>
      <c r="AL9" s="18"/>
      <c r="AM9" s="18"/>
      <c r="AN9" s="18"/>
    </row>
    <row r="10" spans="1:40" ht="51" x14ac:dyDescent="0.25">
      <c r="A10" s="12" t="s">
        <v>141</v>
      </c>
      <c r="B10" s="13" t="s">
        <v>142</v>
      </c>
      <c r="C10" s="14" t="s">
        <v>80</v>
      </c>
      <c r="D10" s="13" t="s">
        <v>143</v>
      </c>
      <c r="E10" s="13" t="s">
        <v>144</v>
      </c>
      <c r="F10" s="15" t="s">
        <v>83</v>
      </c>
      <c r="G10" s="12" t="s">
        <v>145</v>
      </c>
      <c r="H10" s="13" t="s">
        <v>85</v>
      </c>
      <c r="I10" s="13" t="s">
        <v>146</v>
      </c>
      <c r="J10" s="13" t="s">
        <v>147</v>
      </c>
      <c r="K10" s="13" t="s">
        <v>148</v>
      </c>
      <c r="L10" s="16" t="s">
        <v>89</v>
      </c>
      <c r="M10" s="12">
        <v>3</v>
      </c>
      <c r="N10" s="12"/>
      <c r="O10" s="12"/>
      <c r="P10" s="13" t="s">
        <v>149</v>
      </c>
      <c r="Q10" s="13"/>
      <c r="R10" s="12" t="s">
        <v>91</v>
      </c>
      <c r="S10" s="13"/>
      <c r="T10" s="13"/>
      <c r="U10" s="12"/>
      <c r="V10" s="13"/>
      <c r="W10" s="13"/>
      <c r="X10" s="12"/>
      <c r="Y10" s="13"/>
      <c r="Z10" s="13" t="s">
        <v>948</v>
      </c>
      <c r="AA10" s="12" t="s">
        <v>93</v>
      </c>
      <c r="AB10" s="13"/>
      <c r="AC10" s="13" t="s">
        <v>151</v>
      </c>
      <c r="AD10" s="12" t="s">
        <v>152</v>
      </c>
      <c r="AE10" s="12" t="s">
        <v>153</v>
      </c>
      <c r="AF10" s="12" t="s">
        <v>154</v>
      </c>
      <c r="AG10" s="13"/>
      <c r="AH10" s="51">
        <v>46113</v>
      </c>
      <c r="AI10" s="51">
        <v>46478</v>
      </c>
      <c r="AJ10" s="12" t="s">
        <v>97</v>
      </c>
      <c r="AK10" s="13" t="s">
        <v>945</v>
      </c>
      <c r="AL10" s="13"/>
      <c r="AM10" s="13"/>
      <c r="AN10" s="13"/>
    </row>
    <row r="11" spans="1:40" ht="51" x14ac:dyDescent="0.25">
      <c r="A11" s="17" t="s">
        <v>155</v>
      </c>
      <c r="B11" s="18" t="s">
        <v>156</v>
      </c>
      <c r="C11" s="14" t="s">
        <v>80</v>
      </c>
      <c r="D11" s="18" t="s">
        <v>157</v>
      </c>
      <c r="E11" s="18" t="s">
        <v>158</v>
      </c>
      <c r="F11" s="15" t="s">
        <v>83</v>
      </c>
      <c r="G11" s="17" t="s">
        <v>84</v>
      </c>
      <c r="H11" s="18" t="s">
        <v>85</v>
      </c>
      <c r="I11" s="18" t="s">
        <v>86</v>
      </c>
      <c r="J11" s="18" t="s">
        <v>87</v>
      </c>
      <c r="K11" s="18" t="s">
        <v>159</v>
      </c>
      <c r="L11" s="19" t="s">
        <v>112</v>
      </c>
      <c r="M11" s="17">
        <v>2</v>
      </c>
      <c r="N11" s="17"/>
      <c r="O11" s="17" t="s">
        <v>946</v>
      </c>
      <c r="P11" s="18" t="s">
        <v>160</v>
      </c>
      <c r="Q11" s="18"/>
      <c r="R11" s="17" t="s">
        <v>91</v>
      </c>
      <c r="S11" s="18"/>
      <c r="T11" s="18"/>
      <c r="U11" s="17"/>
      <c r="V11" s="18"/>
      <c r="W11" s="18"/>
      <c r="X11" s="17"/>
      <c r="Y11" s="18"/>
      <c r="Z11" s="18" t="s">
        <v>949</v>
      </c>
      <c r="AA11" s="17"/>
      <c r="AB11" s="18" t="s">
        <v>114</v>
      </c>
      <c r="AC11" s="18"/>
      <c r="AD11" s="17"/>
      <c r="AE11" s="17"/>
      <c r="AF11" s="17" t="s">
        <v>162</v>
      </c>
      <c r="AG11" s="18"/>
      <c r="AH11" s="52">
        <v>46113</v>
      </c>
      <c r="AI11" s="52">
        <v>46478</v>
      </c>
      <c r="AJ11" s="17" t="s">
        <v>97</v>
      </c>
      <c r="AK11" s="18" t="s">
        <v>945</v>
      </c>
      <c r="AL11" s="18"/>
      <c r="AM11" s="18"/>
      <c r="AN11" s="18"/>
    </row>
    <row r="12" spans="1:40" ht="51" x14ac:dyDescent="0.25">
      <c r="A12" s="12" t="s">
        <v>163</v>
      </c>
      <c r="B12" s="13" t="s">
        <v>164</v>
      </c>
      <c r="C12" s="14" t="s">
        <v>80</v>
      </c>
      <c r="D12" s="13" t="s">
        <v>165</v>
      </c>
      <c r="E12" s="13" t="s">
        <v>166</v>
      </c>
      <c r="F12" s="15" t="s">
        <v>83</v>
      </c>
      <c r="G12" s="12" t="s">
        <v>84</v>
      </c>
      <c r="H12" s="13" t="s">
        <v>85</v>
      </c>
      <c r="I12" s="13" t="s">
        <v>86</v>
      </c>
      <c r="J12" s="13" t="s">
        <v>167</v>
      </c>
      <c r="K12" s="13" t="s">
        <v>159</v>
      </c>
      <c r="L12" s="16" t="s">
        <v>89</v>
      </c>
      <c r="M12" s="12">
        <v>3</v>
      </c>
      <c r="N12" s="12"/>
      <c r="O12" s="12"/>
      <c r="P12" s="13" t="s">
        <v>168</v>
      </c>
      <c r="Q12" s="13"/>
      <c r="R12" s="12" t="s">
        <v>91</v>
      </c>
      <c r="S12" s="13"/>
      <c r="T12" s="13"/>
      <c r="U12" s="12"/>
      <c r="V12" s="13"/>
      <c r="W12" s="13"/>
      <c r="X12" s="12"/>
      <c r="Y12" s="13"/>
      <c r="Z12" s="13" t="s">
        <v>950</v>
      </c>
      <c r="AA12" s="12" t="s">
        <v>93</v>
      </c>
      <c r="AB12" s="13"/>
      <c r="AC12" s="13"/>
      <c r="AD12" s="12" t="s">
        <v>170</v>
      </c>
      <c r="AE12" s="12"/>
      <c r="AF12" s="12" t="s">
        <v>171</v>
      </c>
      <c r="AG12" s="13"/>
      <c r="AH12" s="51">
        <v>46113</v>
      </c>
      <c r="AI12" s="51">
        <v>46478</v>
      </c>
      <c r="AJ12" s="12" t="s">
        <v>97</v>
      </c>
      <c r="AK12" s="13" t="s">
        <v>945</v>
      </c>
      <c r="AL12" s="13"/>
      <c r="AM12" s="13"/>
      <c r="AN12" s="13"/>
    </row>
    <row r="13" spans="1:40" ht="51" x14ac:dyDescent="0.25">
      <c r="A13" s="17" t="s">
        <v>172</v>
      </c>
      <c r="B13" s="18" t="s">
        <v>173</v>
      </c>
      <c r="C13" s="14" t="s">
        <v>80</v>
      </c>
      <c r="D13" s="18" t="s">
        <v>174</v>
      </c>
      <c r="E13" s="18" t="s">
        <v>175</v>
      </c>
      <c r="F13" s="15" t="s">
        <v>83</v>
      </c>
      <c r="G13" s="17" t="s">
        <v>84</v>
      </c>
      <c r="H13" s="18" t="s">
        <v>85</v>
      </c>
      <c r="I13" s="18" t="s">
        <v>111</v>
      </c>
      <c r="J13" s="18" t="s">
        <v>176</v>
      </c>
      <c r="K13" s="18" t="s">
        <v>159</v>
      </c>
      <c r="L13" s="20" t="s">
        <v>177</v>
      </c>
      <c r="M13" s="17">
        <v>1</v>
      </c>
      <c r="N13" s="17"/>
      <c r="O13" s="17" t="s">
        <v>946</v>
      </c>
      <c r="P13" s="18" t="s">
        <v>178</v>
      </c>
      <c r="Q13" s="18"/>
      <c r="R13" s="17" t="s">
        <v>91</v>
      </c>
      <c r="S13" s="18"/>
      <c r="T13" s="18"/>
      <c r="U13" s="17"/>
      <c r="V13" s="18"/>
      <c r="W13" s="18"/>
      <c r="X13" s="17"/>
      <c r="Y13" s="18"/>
      <c r="Z13" s="18" t="s">
        <v>951</v>
      </c>
      <c r="AA13" s="17"/>
      <c r="AB13" s="18" t="s">
        <v>114</v>
      </c>
      <c r="AC13" s="18" t="s">
        <v>180</v>
      </c>
      <c r="AD13" s="17" t="s">
        <v>181</v>
      </c>
      <c r="AE13" s="17" t="s">
        <v>182</v>
      </c>
      <c r="AF13" s="17" t="s">
        <v>183</v>
      </c>
      <c r="AG13" s="18"/>
      <c r="AH13" s="52">
        <v>46113</v>
      </c>
      <c r="AI13" s="52">
        <v>46478</v>
      </c>
      <c r="AJ13" s="17" t="s">
        <v>97</v>
      </c>
      <c r="AK13" s="18" t="s">
        <v>945</v>
      </c>
      <c r="AL13" s="18"/>
      <c r="AM13" s="18"/>
      <c r="AN13" s="18"/>
    </row>
    <row r="14" spans="1:40" ht="51" x14ac:dyDescent="0.25">
      <c r="A14" s="12" t="s">
        <v>184</v>
      </c>
      <c r="B14" s="13" t="s">
        <v>185</v>
      </c>
      <c r="C14" s="14" t="s">
        <v>80</v>
      </c>
      <c r="D14" s="13" t="s">
        <v>186</v>
      </c>
      <c r="E14" s="13" t="s">
        <v>187</v>
      </c>
      <c r="F14" s="15" t="s">
        <v>83</v>
      </c>
      <c r="G14" s="12" t="s">
        <v>84</v>
      </c>
      <c r="H14" s="13" t="s">
        <v>85</v>
      </c>
      <c r="I14" s="13" t="s">
        <v>111</v>
      </c>
      <c r="J14" s="13" t="s">
        <v>167</v>
      </c>
      <c r="K14" s="13" t="s">
        <v>188</v>
      </c>
      <c r="L14" s="20" t="s">
        <v>177</v>
      </c>
      <c r="M14" s="12">
        <v>1</v>
      </c>
      <c r="N14" s="12"/>
      <c r="O14" s="12" t="s">
        <v>946</v>
      </c>
      <c r="P14" s="13" t="s">
        <v>189</v>
      </c>
      <c r="Q14" s="13"/>
      <c r="R14" s="12" t="s">
        <v>91</v>
      </c>
      <c r="S14" s="13"/>
      <c r="T14" s="13"/>
      <c r="U14" s="12"/>
      <c r="V14" s="13"/>
      <c r="W14" s="13"/>
      <c r="X14" s="12"/>
      <c r="Y14" s="13"/>
      <c r="Z14" s="13" t="s">
        <v>952</v>
      </c>
      <c r="AA14" s="12"/>
      <c r="AB14" s="13" t="s">
        <v>114</v>
      </c>
      <c r="AC14" s="13"/>
      <c r="AD14" s="12"/>
      <c r="AE14" s="12"/>
      <c r="AF14" s="12" t="s">
        <v>191</v>
      </c>
      <c r="AG14" s="13"/>
      <c r="AH14" s="51">
        <v>46113</v>
      </c>
      <c r="AI14" s="51">
        <v>46478</v>
      </c>
      <c r="AJ14" s="12" t="s">
        <v>97</v>
      </c>
      <c r="AK14" s="13" t="s">
        <v>945</v>
      </c>
      <c r="AL14" s="13"/>
      <c r="AM14" s="13"/>
      <c r="AN14" s="13"/>
    </row>
    <row r="15" spans="1:40" ht="51" x14ac:dyDescent="0.25">
      <c r="A15" s="17" t="s">
        <v>192</v>
      </c>
      <c r="B15" s="18" t="s">
        <v>193</v>
      </c>
      <c r="C15" s="14" t="s">
        <v>80</v>
      </c>
      <c r="D15" s="18" t="s">
        <v>194</v>
      </c>
      <c r="E15" s="18" t="s">
        <v>195</v>
      </c>
      <c r="F15" s="15" t="s">
        <v>83</v>
      </c>
      <c r="G15" s="17" t="s">
        <v>84</v>
      </c>
      <c r="H15" s="18" t="s">
        <v>85</v>
      </c>
      <c r="I15" s="18" t="s">
        <v>86</v>
      </c>
      <c r="J15" s="18" t="s">
        <v>196</v>
      </c>
      <c r="K15" s="18" t="s">
        <v>197</v>
      </c>
      <c r="L15" s="16" t="s">
        <v>89</v>
      </c>
      <c r="M15" s="17">
        <v>3</v>
      </c>
      <c r="N15" s="17"/>
      <c r="O15" s="17"/>
      <c r="P15" s="18" t="s">
        <v>178</v>
      </c>
      <c r="Q15" s="18"/>
      <c r="R15" s="17" t="s">
        <v>91</v>
      </c>
      <c r="S15" s="18"/>
      <c r="T15" s="18"/>
      <c r="U15" s="17"/>
      <c r="V15" s="18"/>
      <c r="W15" s="18"/>
      <c r="X15" s="17"/>
      <c r="Y15" s="18"/>
      <c r="Z15" s="18" t="s">
        <v>953</v>
      </c>
      <c r="AA15" s="17" t="s">
        <v>93</v>
      </c>
      <c r="AB15" s="18"/>
      <c r="AC15" s="18"/>
      <c r="AD15" s="17" t="s">
        <v>199</v>
      </c>
      <c r="AE15" s="17" t="s">
        <v>200</v>
      </c>
      <c r="AF15" s="17" t="s">
        <v>201</v>
      </c>
      <c r="AG15" s="18"/>
      <c r="AH15" s="52">
        <v>46113</v>
      </c>
      <c r="AI15" s="52">
        <v>46478</v>
      </c>
      <c r="AJ15" s="17" t="s">
        <v>97</v>
      </c>
      <c r="AK15" s="18" t="s">
        <v>945</v>
      </c>
      <c r="AL15" s="18"/>
      <c r="AM15" s="18"/>
      <c r="AN15" s="18"/>
    </row>
    <row r="16" spans="1:40" ht="51" x14ac:dyDescent="0.25">
      <c r="A16" s="12" t="s">
        <v>202</v>
      </c>
      <c r="B16" s="13" t="s">
        <v>203</v>
      </c>
      <c r="C16" s="14" t="s">
        <v>80</v>
      </c>
      <c r="D16" s="13" t="s">
        <v>204</v>
      </c>
      <c r="E16" s="13" t="s">
        <v>205</v>
      </c>
      <c r="F16" s="15" t="s">
        <v>83</v>
      </c>
      <c r="G16" s="12" t="s">
        <v>84</v>
      </c>
      <c r="H16" s="13" t="s">
        <v>85</v>
      </c>
      <c r="I16" s="13" t="s">
        <v>111</v>
      </c>
      <c r="J16" s="13" t="s">
        <v>196</v>
      </c>
      <c r="K16" s="13" t="s">
        <v>197</v>
      </c>
      <c r="L16" s="19" t="s">
        <v>112</v>
      </c>
      <c r="M16" s="12">
        <v>2</v>
      </c>
      <c r="N16" s="12"/>
      <c r="O16" s="12" t="s">
        <v>946</v>
      </c>
      <c r="P16" s="13" t="s">
        <v>178</v>
      </c>
      <c r="Q16" s="13"/>
      <c r="R16" s="12" t="s">
        <v>91</v>
      </c>
      <c r="S16" s="13"/>
      <c r="T16" s="13"/>
      <c r="U16" s="12"/>
      <c r="V16" s="13"/>
      <c r="W16" s="13"/>
      <c r="X16" s="12"/>
      <c r="Y16" s="13"/>
      <c r="Z16" s="13" t="s">
        <v>954</v>
      </c>
      <c r="AA16" s="12"/>
      <c r="AB16" s="13" t="s">
        <v>114</v>
      </c>
      <c r="AC16" s="13"/>
      <c r="AD16" s="12"/>
      <c r="AE16" s="12" t="s">
        <v>182</v>
      </c>
      <c r="AF16" s="12" t="s">
        <v>207</v>
      </c>
      <c r="AG16" s="13"/>
      <c r="AH16" s="51">
        <v>46113</v>
      </c>
      <c r="AI16" s="51">
        <v>46478</v>
      </c>
      <c r="AJ16" s="12" t="s">
        <v>97</v>
      </c>
      <c r="AK16" s="13" t="s">
        <v>945</v>
      </c>
      <c r="AL16" s="13"/>
      <c r="AM16" s="13"/>
      <c r="AN16" s="13"/>
    </row>
    <row r="17" spans="1:40" ht="51" x14ac:dyDescent="0.25">
      <c r="A17" s="17" t="s">
        <v>208</v>
      </c>
      <c r="B17" s="18" t="s">
        <v>209</v>
      </c>
      <c r="C17" s="14" t="s">
        <v>80</v>
      </c>
      <c r="D17" s="18" t="s">
        <v>210</v>
      </c>
      <c r="E17" s="18" t="s">
        <v>211</v>
      </c>
      <c r="F17" s="15" t="s">
        <v>83</v>
      </c>
      <c r="G17" s="17" t="s">
        <v>84</v>
      </c>
      <c r="H17" s="18" t="s">
        <v>85</v>
      </c>
      <c r="I17" s="18" t="s">
        <v>111</v>
      </c>
      <c r="J17" s="18" t="s">
        <v>196</v>
      </c>
      <c r="K17" s="18" t="s">
        <v>188</v>
      </c>
      <c r="L17" s="19" t="s">
        <v>112</v>
      </c>
      <c r="M17" s="17">
        <v>2</v>
      </c>
      <c r="N17" s="17"/>
      <c r="O17" s="17" t="s">
        <v>946</v>
      </c>
      <c r="P17" s="18" t="s">
        <v>178</v>
      </c>
      <c r="Q17" s="18"/>
      <c r="R17" s="17" t="s">
        <v>91</v>
      </c>
      <c r="S17" s="18"/>
      <c r="T17" s="18"/>
      <c r="U17" s="17"/>
      <c r="V17" s="18"/>
      <c r="W17" s="18"/>
      <c r="X17" s="17"/>
      <c r="Y17" s="18"/>
      <c r="Z17" s="18" t="s">
        <v>955</v>
      </c>
      <c r="AA17" s="17"/>
      <c r="AB17" s="18" t="s">
        <v>114</v>
      </c>
      <c r="AC17" s="18"/>
      <c r="AD17" s="17" t="s">
        <v>213</v>
      </c>
      <c r="AE17" s="17" t="s">
        <v>182</v>
      </c>
      <c r="AF17" s="17" t="s">
        <v>214</v>
      </c>
      <c r="AG17" s="18"/>
      <c r="AH17" s="52">
        <v>46113</v>
      </c>
      <c r="AI17" s="52">
        <v>46478</v>
      </c>
      <c r="AJ17" s="17" t="s">
        <v>97</v>
      </c>
      <c r="AK17" s="18" t="s">
        <v>945</v>
      </c>
      <c r="AL17" s="18"/>
      <c r="AM17" s="18"/>
      <c r="AN17" s="18"/>
    </row>
    <row r="18" spans="1:40" ht="38.25" x14ac:dyDescent="0.25">
      <c r="A18" s="12" t="s">
        <v>215</v>
      </c>
      <c r="B18" s="13" t="s">
        <v>216</v>
      </c>
      <c r="C18" s="14" t="s">
        <v>80</v>
      </c>
      <c r="D18" s="13" t="s">
        <v>217</v>
      </c>
      <c r="E18" s="13" t="s">
        <v>218</v>
      </c>
      <c r="F18" s="15" t="s">
        <v>83</v>
      </c>
      <c r="G18" s="12" t="s">
        <v>84</v>
      </c>
      <c r="H18" s="13" t="s">
        <v>85</v>
      </c>
      <c r="I18" s="13" t="s">
        <v>111</v>
      </c>
      <c r="J18" s="13" t="s">
        <v>219</v>
      </c>
      <c r="K18" s="13" t="s">
        <v>188</v>
      </c>
      <c r="L18" s="16" t="s">
        <v>89</v>
      </c>
      <c r="M18" s="12">
        <v>3</v>
      </c>
      <c r="N18" s="12"/>
      <c r="O18" s="12"/>
      <c r="P18" s="13" t="s">
        <v>220</v>
      </c>
      <c r="Q18" s="13"/>
      <c r="R18" s="12" t="s">
        <v>91</v>
      </c>
      <c r="S18" s="13"/>
      <c r="T18" s="13"/>
      <c r="U18" s="12"/>
      <c r="V18" s="13"/>
      <c r="W18" s="13"/>
      <c r="X18" s="12"/>
      <c r="Y18" s="13"/>
      <c r="Z18" s="13" t="s">
        <v>956</v>
      </c>
      <c r="AA18" s="12" t="s">
        <v>93</v>
      </c>
      <c r="AB18" s="13"/>
      <c r="AC18" s="13" t="s">
        <v>222</v>
      </c>
      <c r="AD18" s="12" t="s">
        <v>223</v>
      </c>
      <c r="AE18" s="12"/>
      <c r="AF18" s="12" t="s">
        <v>224</v>
      </c>
      <c r="AG18" s="13"/>
      <c r="AH18" s="51">
        <v>46113</v>
      </c>
      <c r="AI18" s="51">
        <v>46478</v>
      </c>
      <c r="AJ18" s="12" t="s">
        <v>97</v>
      </c>
      <c r="AK18" s="13" t="s">
        <v>945</v>
      </c>
      <c r="AL18" s="13"/>
      <c r="AM18" s="13"/>
      <c r="AN18" s="13"/>
    </row>
    <row r="19" spans="1:40" ht="51" x14ac:dyDescent="0.25">
      <c r="A19" s="17" t="s">
        <v>225</v>
      </c>
      <c r="B19" s="18" t="s">
        <v>226</v>
      </c>
      <c r="C19" s="14" t="s">
        <v>80</v>
      </c>
      <c r="D19" s="18" t="s">
        <v>227</v>
      </c>
      <c r="E19" s="18" t="s">
        <v>228</v>
      </c>
      <c r="F19" s="15" t="s">
        <v>83</v>
      </c>
      <c r="G19" s="17" t="s">
        <v>84</v>
      </c>
      <c r="H19" s="18" t="s">
        <v>85</v>
      </c>
      <c r="I19" s="18" t="s">
        <v>111</v>
      </c>
      <c r="J19" s="18" t="s">
        <v>219</v>
      </c>
      <c r="K19" s="18" t="s">
        <v>188</v>
      </c>
      <c r="L19" s="16" t="s">
        <v>89</v>
      </c>
      <c r="M19" s="17">
        <v>3</v>
      </c>
      <c r="N19" s="17"/>
      <c r="O19" s="17"/>
      <c r="P19" s="18" t="s">
        <v>220</v>
      </c>
      <c r="Q19" s="18"/>
      <c r="R19" s="17" t="s">
        <v>91</v>
      </c>
      <c r="S19" s="18"/>
      <c r="T19" s="18"/>
      <c r="U19" s="17"/>
      <c r="V19" s="18"/>
      <c r="W19" s="18"/>
      <c r="X19" s="17"/>
      <c r="Y19" s="18"/>
      <c r="Z19" s="18" t="s">
        <v>957</v>
      </c>
      <c r="AA19" s="17" t="s">
        <v>93</v>
      </c>
      <c r="AB19" s="18"/>
      <c r="AC19" s="18"/>
      <c r="AD19" s="17" t="s">
        <v>230</v>
      </c>
      <c r="AE19" s="17"/>
      <c r="AF19" s="17" t="s">
        <v>231</v>
      </c>
      <c r="AG19" s="18"/>
      <c r="AH19" s="52">
        <v>46113</v>
      </c>
      <c r="AI19" s="52">
        <v>46478</v>
      </c>
      <c r="AJ19" s="17" t="s">
        <v>97</v>
      </c>
      <c r="AK19" s="18" t="s">
        <v>945</v>
      </c>
      <c r="AL19" s="18"/>
      <c r="AM19" s="18"/>
      <c r="AN19" s="18"/>
    </row>
    <row r="20" spans="1:40" ht="51" x14ac:dyDescent="0.25">
      <c r="A20" s="12" t="s">
        <v>232</v>
      </c>
      <c r="B20" s="13" t="s">
        <v>233</v>
      </c>
      <c r="C20" s="14" t="s">
        <v>80</v>
      </c>
      <c r="D20" s="13" t="s">
        <v>234</v>
      </c>
      <c r="E20" s="13" t="s">
        <v>235</v>
      </c>
      <c r="F20" s="15" t="s">
        <v>83</v>
      </c>
      <c r="G20" s="12" t="s">
        <v>84</v>
      </c>
      <c r="H20" s="13" t="s">
        <v>85</v>
      </c>
      <c r="I20" s="13" t="s">
        <v>111</v>
      </c>
      <c r="J20" s="13" t="s">
        <v>219</v>
      </c>
      <c r="K20" s="13" t="s">
        <v>188</v>
      </c>
      <c r="L20" s="16" t="s">
        <v>89</v>
      </c>
      <c r="M20" s="12">
        <v>3</v>
      </c>
      <c r="N20" s="12"/>
      <c r="O20" s="12"/>
      <c r="P20" s="13" t="s">
        <v>220</v>
      </c>
      <c r="Q20" s="13"/>
      <c r="R20" s="12" t="s">
        <v>91</v>
      </c>
      <c r="S20" s="13"/>
      <c r="T20" s="13"/>
      <c r="U20" s="12"/>
      <c r="V20" s="13"/>
      <c r="W20" s="13"/>
      <c r="X20" s="12"/>
      <c r="Y20" s="13"/>
      <c r="Z20" s="13" t="s">
        <v>956</v>
      </c>
      <c r="AA20" s="12" t="s">
        <v>93</v>
      </c>
      <c r="AB20" s="13"/>
      <c r="AC20" s="13"/>
      <c r="AD20" s="12" t="s">
        <v>236</v>
      </c>
      <c r="AE20" s="12"/>
      <c r="AF20" s="12" t="s">
        <v>231</v>
      </c>
      <c r="AG20" s="13"/>
      <c r="AH20" s="51">
        <v>46113</v>
      </c>
      <c r="AI20" s="51">
        <v>46478</v>
      </c>
      <c r="AJ20" s="12" t="s">
        <v>97</v>
      </c>
      <c r="AK20" s="13" t="s">
        <v>945</v>
      </c>
      <c r="AL20" s="13"/>
      <c r="AM20" s="13"/>
      <c r="AN20" s="13"/>
    </row>
    <row r="21" spans="1:40" ht="51" x14ac:dyDescent="0.25">
      <c r="A21" s="17" t="s">
        <v>237</v>
      </c>
      <c r="B21" s="18" t="s">
        <v>238</v>
      </c>
      <c r="C21" s="14" t="s">
        <v>80</v>
      </c>
      <c r="D21" s="18" t="s">
        <v>239</v>
      </c>
      <c r="E21" s="18" t="s">
        <v>240</v>
      </c>
      <c r="F21" s="15" t="s">
        <v>83</v>
      </c>
      <c r="G21" s="17" t="s">
        <v>84</v>
      </c>
      <c r="H21" s="18" t="s">
        <v>85</v>
      </c>
      <c r="I21" s="18" t="s">
        <v>111</v>
      </c>
      <c r="J21" s="18" t="s">
        <v>219</v>
      </c>
      <c r="K21" s="18" t="s">
        <v>188</v>
      </c>
      <c r="L21" s="16" t="s">
        <v>89</v>
      </c>
      <c r="M21" s="17">
        <v>3</v>
      </c>
      <c r="N21" s="17"/>
      <c r="O21" s="17"/>
      <c r="P21" s="18" t="s">
        <v>220</v>
      </c>
      <c r="Q21" s="18"/>
      <c r="R21" s="17" t="s">
        <v>91</v>
      </c>
      <c r="S21" s="18"/>
      <c r="T21" s="18"/>
      <c r="U21" s="17"/>
      <c r="V21" s="18"/>
      <c r="W21" s="18"/>
      <c r="X21" s="17"/>
      <c r="Y21" s="18"/>
      <c r="Z21" s="18" t="s">
        <v>958</v>
      </c>
      <c r="AA21" s="17" t="s">
        <v>93</v>
      </c>
      <c r="AB21" s="18"/>
      <c r="AC21" s="18"/>
      <c r="AD21" s="17" t="s">
        <v>242</v>
      </c>
      <c r="AE21" s="17" t="s">
        <v>243</v>
      </c>
      <c r="AF21" s="17" t="s">
        <v>244</v>
      </c>
      <c r="AG21" s="18"/>
      <c r="AH21" s="52">
        <v>46113</v>
      </c>
      <c r="AI21" s="52">
        <v>46478</v>
      </c>
      <c r="AJ21" s="17" t="s">
        <v>97</v>
      </c>
      <c r="AK21" s="18" t="s">
        <v>945</v>
      </c>
      <c r="AL21" s="18"/>
      <c r="AM21" s="18"/>
      <c r="AN21" s="18"/>
    </row>
    <row r="22" spans="1:40" ht="51" x14ac:dyDescent="0.25">
      <c r="A22" s="12" t="s">
        <v>245</v>
      </c>
      <c r="B22" s="13" t="s">
        <v>246</v>
      </c>
      <c r="C22" s="14" t="s">
        <v>80</v>
      </c>
      <c r="D22" s="13" t="s">
        <v>247</v>
      </c>
      <c r="E22" s="13" t="s">
        <v>248</v>
      </c>
      <c r="F22" s="15" t="s">
        <v>83</v>
      </c>
      <c r="G22" s="12" t="s">
        <v>84</v>
      </c>
      <c r="H22" s="13" t="s">
        <v>85</v>
      </c>
      <c r="I22" s="13" t="s">
        <v>86</v>
      </c>
      <c r="J22" s="13" t="s">
        <v>249</v>
      </c>
      <c r="K22" s="13" t="s">
        <v>159</v>
      </c>
      <c r="L22" s="16" t="s">
        <v>89</v>
      </c>
      <c r="M22" s="12">
        <v>3</v>
      </c>
      <c r="N22" s="12"/>
      <c r="O22" s="12"/>
      <c r="P22" s="13" t="s">
        <v>250</v>
      </c>
      <c r="Q22" s="13"/>
      <c r="R22" s="12" t="s">
        <v>91</v>
      </c>
      <c r="S22" s="13"/>
      <c r="T22" s="13"/>
      <c r="U22" s="12"/>
      <c r="V22" s="13"/>
      <c r="W22" s="13"/>
      <c r="X22" s="12"/>
      <c r="Y22" s="13"/>
      <c r="Z22" s="13" t="s">
        <v>959</v>
      </c>
      <c r="AA22" s="12" t="s">
        <v>93</v>
      </c>
      <c r="AB22" s="13"/>
      <c r="AC22" s="13" t="s">
        <v>252</v>
      </c>
      <c r="AD22" s="12"/>
      <c r="AE22" s="12" t="s">
        <v>253</v>
      </c>
      <c r="AF22" s="12" t="s">
        <v>254</v>
      </c>
      <c r="AG22" s="13"/>
      <c r="AH22" s="51">
        <v>46113</v>
      </c>
      <c r="AI22" s="51">
        <v>46478</v>
      </c>
      <c r="AJ22" s="12" t="s">
        <v>97</v>
      </c>
      <c r="AK22" s="13" t="s">
        <v>945</v>
      </c>
      <c r="AL22" s="13"/>
      <c r="AM22" s="13"/>
      <c r="AN22" s="13"/>
    </row>
    <row r="23" spans="1:40" ht="51" x14ac:dyDescent="0.25">
      <c r="A23" s="17" t="s">
        <v>255</v>
      </c>
      <c r="B23" s="18" t="s">
        <v>256</v>
      </c>
      <c r="C23" s="14" t="s">
        <v>80</v>
      </c>
      <c r="D23" s="18" t="s">
        <v>257</v>
      </c>
      <c r="E23" s="18" t="s">
        <v>258</v>
      </c>
      <c r="F23" s="15" t="s">
        <v>83</v>
      </c>
      <c r="G23" s="17" t="s">
        <v>84</v>
      </c>
      <c r="H23" s="18" t="s">
        <v>85</v>
      </c>
      <c r="I23" s="18" t="s">
        <v>86</v>
      </c>
      <c r="J23" s="18" t="s">
        <v>249</v>
      </c>
      <c r="K23" s="18" t="s">
        <v>159</v>
      </c>
      <c r="L23" s="16" t="s">
        <v>89</v>
      </c>
      <c r="M23" s="17">
        <v>3</v>
      </c>
      <c r="N23" s="17"/>
      <c r="O23" s="17"/>
      <c r="P23" s="18" t="s">
        <v>259</v>
      </c>
      <c r="Q23" s="18"/>
      <c r="R23" s="17" t="s">
        <v>91</v>
      </c>
      <c r="S23" s="18"/>
      <c r="T23" s="18"/>
      <c r="U23" s="17"/>
      <c r="V23" s="18"/>
      <c r="W23" s="18"/>
      <c r="X23" s="17"/>
      <c r="Y23" s="18"/>
      <c r="Z23" s="18" t="s">
        <v>960</v>
      </c>
      <c r="AA23" s="17" t="s">
        <v>93</v>
      </c>
      <c r="AB23" s="18"/>
      <c r="AC23" s="18" t="s">
        <v>261</v>
      </c>
      <c r="AD23" s="17" t="s">
        <v>262</v>
      </c>
      <c r="AE23" s="17" t="s">
        <v>263</v>
      </c>
      <c r="AF23" s="17" t="s">
        <v>264</v>
      </c>
      <c r="AG23" s="18"/>
      <c r="AH23" s="52">
        <v>46113</v>
      </c>
      <c r="AI23" s="52">
        <v>46478</v>
      </c>
      <c r="AJ23" s="17" t="s">
        <v>97</v>
      </c>
      <c r="AK23" s="18" t="s">
        <v>945</v>
      </c>
      <c r="AL23" s="18"/>
      <c r="AM23" s="18"/>
      <c r="AN23" s="18"/>
    </row>
    <row r="24" spans="1:40" ht="51" x14ac:dyDescent="0.25">
      <c r="A24" s="12" t="s">
        <v>265</v>
      </c>
      <c r="B24" s="13" t="s">
        <v>266</v>
      </c>
      <c r="C24" s="14" t="s">
        <v>80</v>
      </c>
      <c r="D24" s="13" t="s">
        <v>267</v>
      </c>
      <c r="E24" s="13" t="s">
        <v>268</v>
      </c>
      <c r="F24" s="15" t="s">
        <v>83</v>
      </c>
      <c r="G24" s="12" t="s">
        <v>84</v>
      </c>
      <c r="H24" s="13" t="s">
        <v>85</v>
      </c>
      <c r="I24" s="13" t="s">
        <v>86</v>
      </c>
      <c r="J24" s="13" t="s">
        <v>269</v>
      </c>
      <c r="K24" s="13" t="s">
        <v>159</v>
      </c>
      <c r="L24" s="16" t="s">
        <v>89</v>
      </c>
      <c r="M24" s="12">
        <v>3</v>
      </c>
      <c r="N24" s="12"/>
      <c r="O24" s="12"/>
      <c r="P24" s="13" t="s">
        <v>250</v>
      </c>
      <c r="Q24" s="13"/>
      <c r="R24" s="12" t="s">
        <v>91</v>
      </c>
      <c r="S24" s="13"/>
      <c r="T24" s="13"/>
      <c r="U24" s="12"/>
      <c r="V24" s="13"/>
      <c r="W24" s="13"/>
      <c r="X24" s="12"/>
      <c r="Y24" s="13"/>
      <c r="Z24" s="13" t="s">
        <v>961</v>
      </c>
      <c r="AA24" s="12" t="s">
        <v>93</v>
      </c>
      <c r="AB24" s="13"/>
      <c r="AC24" s="13"/>
      <c r="AD24" s="12"/>
      <c r="AE24" s="12" t="s">
        <v>253</v>
      </c>
      <c r="AF24" s="12" t="s">
        <v>271</v>
      </c>
      <c r="AG24" s="13"/>
      <c r="AH24" s="51">
        <v>46113</v>
      </c>
      <c r="AI24" s="51">
        <v>46478</v>
      </c>
      <c r="AJ24" s="12" t="s">
        <v>97</v>
      </c>
      <c r="AK24" s="13" t="s">
        <v>945</v>
      </c>
      <c r="AL24" s="13"/>
      <c r="AM24" s="13"/>
      <c r="AN24" s="13"/>
    </row>
    <row r="25" spans="1:40" ht="51" x14ac:dyDescent="0.25">
      <c r="A25" s="17" t="s">
        <v>272</v>
      </c>
      <c r="B25" s="18" t="s">
        <v>273</v>
      </c>
      <c r="C25" s="14" t="s">
        <v>80</v>
      </c>
      <c r="D25" s="18" t="s">
        <v>274</v>
      </c>
      <c r="E25" s="18" t="s">
        <v>275</v>
      </c>
      <c r="F25" s="15" t="s">
        <v>83</v>
      </c>
      <c r="G25" s="17" t="s">
        <v>84</v>
      </c>
      <c r="H25" s="18" t="s">
        <v>85</v>
      </c>
      <c r="I25" s="18" t="s">
        <v>86</v>
      </c>
      <c r="J25" s="18" t="s">
        <v>249</v>
      </c>
      <c r="K25" s="18" t="s">
        <v>159</v>
      </c>
      <c r="L25" s="16" t="s">
        <v>89</v>
      </c>
      <c r="M25" s="17">
        <v>3</v>
      </c>
      <c r="N25" s="17"/>
      <c r="O25" s="17"/>
      <c r="P25" s="18" t="s">
        <v>250</v>
      </c>
      <c r="Q25" s="18"/>
      <c r="R25" s="17" t="s">
        <v>91</v>
      </c>
      <c r="S25" s="18"/>
      <c r="T25" s="18"/>
      <c r="U25" s="17"/>
      <c r="V25" s="18"/>
      <c r="W25" s="18"/>
      <c r="X25" s="17"/>
      <c r="Y25" s="18"/>
      <c r="Z25" s="18" t="s">
        <v>960</v>
      </c>
      <c r="AA25" s="17" t="s">
        <v>93</v>
      </c>
      <c r="AB25" s="18"/>
      <c r="AC25" s="18" t="s">
        <v>276</v>
      </c>
      <c r="AD25" s="17" t="s">
        <v>262</v>
      </c>
      <c r="AE25" s="17" t="s">
        <v>253</v>
      </c>
      <c r="AF25" s="17" t="s">
        <v>277</v>
      </c>
      <c r="AG25" s="18"/>
      <c r="AH25" s="52">
        <v>46113</v>
      </c>
      <c r="AI25" s="52">
        <v>46478</v>
      </c>
      <c r="AJ25" s="17" t="s">
        <v>97</v>
      </c>
      <c r="AK25" s="18" t="s">
        <v>945</v>
      </c>
      <c r="AL25" s="18"/>
      <c r="AM25" s="18"/>
      <c r="AN25" s="18"/>
    </row>
    <row r="26" spans="1:40" ht="51" x14ac:dyDescent="0.25">
      <c r="A26" s="12" t="s">
        <v>278</v>
      </c>
      <c r="B26" s="13" t="s">
        <v>279</v>
      </c>
      <c r="C26" s="14" t="s">
        <v>80</v>
      </c>
      <c r="D26" s="13" t="s">
        <v>280</v>
      </c>
      <c r="E26" s="13" t="s">
        <v>281</v>
      </c>
      <c r="F26" s="15" t="s">
        <v>83</v>
      </c>
      <c r="G26" s="12" t="s">
        <v>84</v>
      </c>
      <c r="H26" s="13" t="s">
        <v>85</v>
      </c>
      <c r="I26" s="13" t="s">
        <v>111</v>
      </c>
      <c r="J26" s="13" t="s">
        <v>249</v>
      </c>
      <c r="K26" s="13" t="s">
        <v>159</v>
      </c>
      <c r="L26" s="16" t="s">
        <v>89</v>
      </c>
      <c r="M26" s="12">
        <v>3</v>
      </c>
      <c r="N26" s="12"/>
      <c r="O26" s="12"/>
      <c r="P26" s="13" t="s">
        <v>282</v>
      </c>
      <c r="Q26" s="13"/>
      <c r="R26" s="12" t="s">
        <v>91</v>
      </c>
      <c r="S26" s="13"/>
      <c r="T26" s="13"/>
      <c r="U26" s="12"/>
      <c r="V26" s="13"/>
      <c r="W26" s="13"/>
      <c r="X26" s="12"/>
      <c r="Y26" s="13"/>
      <c r="Z26" s="13" t="s">
        <v>962</v>
      </c>
      <c r="AA26" s="12" t="s">
        <v>93</v>
      </c>
      <c r="AB26" s="13"/>
      <c r="AC26" s="13"/>
      <c r="AD26" s="12"/>
      <c r="AE26" s="12"/>
      <c r="AF26" s="12" t="s">
        <v>284</v>
      </c>
      <c r="AG26" s="13"/>
      <c r="AH26" s="51">
        <v>46113</v>
      </c>
      <c r="AI26" s="51">
        <v>46478</v>
      </c>
      <c r="AJ26" s="12" t="s">
        <v>97</v>
      </c>
      <c r="AK26" s="13" t="s">
        <v>945</v>
      </c>
      <c r="AL26" s="13"/>
      <c r="AM26" s="13"/>
      <c r="AN26" s="13"/>
    </row>
    <row r="27" spans="1:40" ht="38.25" x14ac:dyDescent="0.25">
      <c r="A27" s="17" t="s">
        <v>285</v>
      </c>
      <c r="B27" s="18" t="s">
        <v>286</v>
      </c>
      <c r="C27" s="14" t="s">
        <v>80</v>
      </c>
      <c r="D27" s="18" t="s">
        <v>287</v>
      </c>
      <c r="E27" s="18" t="s">
        <v>288</v>
      </c>
      <c r="F27" s="15" t="s">
        <v>83</v>
      </c>
      <c r="G27" s="17" t="s">
        <v>289</v>
      </c>
      <c r="H27" s="18" t="s">
        <v>85</v>
      </c>
      <c r="I27" s="18" t="s">
        <v>290</v>
      </c>
      <c r="J27" s="18" t="s">
        <v>291</v>
      </c>
      <c r="K27" s="18" t="s">
        <v>148</v>
      </c>
      <c r="L27" s="16" t="s">
        <v>89</v>
      </c>
      <c r="M27" s="17">
        <v>3</v>
      </c>
      <c r="N27" s="17"/>
      <c r="O27" s="17"/>
      <c r="P27" s="18" t="s">
        <v>292</v>
      </c>
      <c r="Q27" s="18"/>
      <c r="R27" s="17" t="s">
        <v>91</v>
      </c>
      <c r="S27" s="18"/>
      <c r="T27" s="18"/>
      <c r="U27" s="17"/>
      <c r="V27" s="18"/>
      <c r="W27" s="18"/>
      <c r="X27" s="17"/>
      <c r="Y27" s="18"/>
      <c r="Z27" s="18" t="s">
        <v>963</v>
      </c>
      <c r="AA27" s="17" t="s">
        <v>93</v>
      </c>
      <c r="AB27" s="18"/>
      <c r="AC27" s="18" t="s">
        <v>294</v>
      </c>
      <c r="AD27" s="17" t="s">
        <v>295</v>
      </c>
      <c r="AE27" s="17" t="s">
        <v>296</v>
      </c>
      <c r="AF27" s="17" t="s">
        <v>297</v>
      </c>
      <c r="AG27" s="18"/>
      <c r="AH27" s="52">
        <v>46113</v>
      </c>
      <c r="AI27" s="52">
        <v>46478</v>
      </c>
      <c r="AJ27" s="17" t="s">
        <v>97</v>
      </c>
      <c r="AK27" s="18" t="s">
        <v>945</v>
      </c>
      <c r="AL27" s="18"/>
      <c r="AM27" s="18"/>
      <c r="AN27" s="18"/>
    </row>
    <row r="28" spans="1:40" ht="38.25" x14ac:dyDescent="0.25">
      <c r="A28" s="12" t="s">
        <v>298</v>
      </c>
      <c r="B28" s="13" t="s">
        <v>299</v>
      </c>
      <c r="C28" s="14" t="s">
        <v>80</v>
      </c>
      <c r="D28" s="13" t="s">
        <v>300</v>
      </c>
      <c r="E28" s="13" t="s">
        <v>301</v>
      </c>
      <c r="F28" s="15" t="s">
        <v>83</v>
      </c>
      <c r="G28" s="12" t="s">
        <v>302</v>
      </c>
      <c r="H28" s="13" t="s">
        <v>85</v>
      </c>
      <c r="I28" s="13" t="s">
        <v>303</v>
      </c>
      <c r="J28" s="13" t="s">
        <v>304</v>
      </c>
      <c r="K28" s="13" t="s">
        <v>136</v>
      </c>
      <c r="L28" s="16" t="s">
        <v>89</v>
      </c>
      <c r="M28" s="12">
        <v>3</v>
      </c>
      <c r="N28" s="12"/>
      <c r="O28" s="12"/>
      <c r="P28" s="13" t="s">
        <v>149</v>
      </c>
      <c r="Q28" s="13"/>
      <c r="R28" s="12" t="s">
        <v>91</v>
      </c>
      <c r="S28" s="13"/>
      <c r="T28" s="13"/>
      <c r="U28" s="12"/>
      <c r="V28" s="13"/>
      <c r="W28" s="13"/>
      <c r="X28" s="12"/>
      <c r="Y28" s="13"/>
      <c r="Z28" s="13" t="s">
        <v>964</v>
      </c>
      <c r="AA28" s="12" t="s">
        <v>93</v>
      </c>
      <c r="AB28" s="13"/>
      <c r="AC28" s="13" t="s">
        <v>306</v>
      </c>
      <c r="AD28" s="12" t="s">
        <v>295</v>
      </c>
      <c r="AE28" s="12" t="s">
        <v>296</v>
      </c>
      <c r="AF28" s="12" t="s">
        <v>307</v>
      </c>
      <c r="AG28" s="13"/>
      <c r="AH28" s="51">
        <v>46113</v>
      </c>
      <c r="AI28" s="51">
        <v>46478</v>
      </c>
      <c r="AJ28" s="12" t="s">
        <v>97</v>
      </c>
      <c r="AK28" s="13" t="s">
        <v>945</v>
      </c>
      <c r="AL28" s="13"/>
      <c r="AM28" s="13"/>
      <c r="AN28" s="13"/>
    </row>
    <row r="29" spans="1:40" ht="51" x14ac:dyDescent="0.25">
      <c r="A29" s="17" t="s">
        <v>308</v>
      </c>
      <c r="B29" s="18" t="s">
        <v>309</v>
      </c>
      <c r="C29" s="14" t="s">
        <v>80</v>
      </c>
      <c r="D29" s="18" t="s">
        <v>310</v>
      </c>
      <c r="E29" s="18" t="s">
        <v>311</v>
      </c>
      <c r="F29" s="15" t="s">
        <v>83</v>
      </c>
      <c r="G29" s="17" t="s">
        <v>312</v>
      </c>
      <c r="H29" s="18" t="s">
        <v>85</v>
      </c>
      <c r="I29" s="18" t="s">
        <v>290</v>
      </c>
      <c r="J29" s="18" t="s">
        <v>304</v>
      </c>
      <c r="K29" s="18" t="s">
        <v>148</v>
      </c>
      <c r="L29" s="16" t="s">
        <v>89</v>
      </c>
      <c r="M29" s="17">
        <v>3</v>
      </c>
      <c r="N29" s="17"/>
      <c r="O29" s="17"/>
      <c r="P29" s="18" t="s">
        <v>149</v>
      </c>
      <c r="Q29" s="18"/>
      <c r="R29" s="17" t="s">
        <v>91</v>
      </c>
      <c r="S29" s="18"/>
      <c r="T29" s="18"/>
      <c r="U29" s="17"/>
      <c r="V29" s="18"/>
      <c r="W29" s="18"/>
      <c r="X29" s="17"/>
      <c r="Y29" s="18"/>
      <c r="Z29" s="18" t="s">
        <v>965</v>
      </c>
      <c r="AA29" s="17" t="s">
        <v>93</v>
      </c>
      <c r="AB29" s="18"/>
      <c r="AC29" s="18" t="s">
        <v>294</v>
      </c>
      <c r="AD29" s="17" t="s">
        <v>295</v>
      </c>
      <c r="AE29" s="17" t="s">
        <v>296</v>
      </c>
      <c r="AF29" s="17" t="s">
        <v>314</v>
      </c>
      <c r="AG29" s="18"/>
      <c r="AH29" s="52">
        <v>46113</v>
      </c>
      <c r="AI29" s="52">
        <v>46478</v>
      </c>
      <c r="AJ29" s="17" t="s">
        <v>97</v>
      </c>
      <c r="AK29" s="18" t="s">
        <v>945</v>
      </c>
      <c r="AL29" s="18"/>
      <c r="AM29" s="18"/>
      <c r="AN29" s="18"/>
    </row>
    <row r="30" spans="1:40" ht="51" x14ac:dyDescent="0.25">
      <c r="A30" s="12" t="s">
        <v>315</v>
      </c>
      <c r="B30" s="13" t="s">
        <v>316</v>
      </c>
      <c r="C30" s="14" t="s">
        <v>80</v>
      </c>
      <c r="D30" s="13" t="s">
        <v>317</v>
      </c>
      <c r="E30" s="13" t="s">
        <v>318</v>
      </c>
      <c r="F30" s="15" t="s">
        <v>83</v>
      </c>
      <c r="G30" s="12" t="s">
        <v>145</v>
      </c>
      <c r="H30" s="13" t="s">
        <v>85</v>
      </c>
      <c r="I30" s="13" t="s">
        <v>86</v>
      </c>
      <c r="J30" s="13" t="s">
        <v>304</v>
      </c>
      <c r="K30" s="13" t="s">
        <v>148</v>
      </c>
      <c r="L30" s="16" t="s">
        <v>89</v>
      </c>
      <c r="M30" s="12">
        <v>3</v>
      </c>
      <c r="N30" s="12"/>
      <c r="O30" s="12"/>
      <c r="P30" s="13" t="s">
        <v>90</v>
      </c>
      <c r="Q30" s="13"/>
      <c r="R30" s="12" t="s">
        <v>91</v>
      </c>
      <c r="S30" s="13"/>
      <c r="T30" s="13"/>
      <c r="U30" s="12"/>
      <c r="V30" s="13"/>
      <c r="W30" s="13"/>
      <c r="X30" s="12"/>
      <c r="Y30" s="13"/>
      <c r="Z30" s="13" t="s">
        <v>966</v>
      </c>
      <c r="AA30" s="12" t="s">
        <v>93</v>
      </c>
      <c r="AB30" s="13"/>
      <c r="AC30" s="13"/>
      <c r="AD30" s="12"/>
      <c r="AE30" s="12"/>
      <c r="AF30" s="12" t="s">
        <v>320</v>
      </c>
      <c r="AG30" s="13"/>
      <c r="AH30" s="51">
        <v>46113</v>
      </c>
      <c r="AI30" s="51">
        <v>46478</v>
      </c>
      <c r="AJ30" s="12" t="s">
        <v>97</v>
      </c>
      <c r="AK30" s="13" t="s">
        <v>945</v>
      </c>
      <c r="AL30" s="13"/>
      <c r="AM30" s="13"/>
      <c r="AN30" s="13"/>
    </row>
    <row r="31" spans="1:40" ht="51" x14ac:dyDescent="0.25">
      <c r="A31" s="17" t="s">
        <v>321</v>
      </c>
      <c r="B31" s="18" t="s">
        <v>322</v>
      </c>
      <c r="C31" s="14" t="s">
        <v>80</v>
      </c>
      <c r="D31" s="18" t="s">
        <v>323</v>
      </c>
      <c r="E31" s="18" t="s">
        <v>324</v>
      </c>
      <c r="F31" s="15" t="s">
        <v>83</v>
      </c>
      <c r="G31" s="17" t="s">
        <v>312</v>
      </c>
      <c r="H31" s="18" t="s">
        <v>85</v>
      </c>
      <c r="I31" s="18" t="s">
        <v>325</v>
      </c>
      <c r="J31" s="18" t="s">
        <v>304</v>
      </c>
      <c r="K31" s="18" t="s">
        <v>136</v>
      </c>
      <c r="L31" s="16" t="s">
        <v>89</v>
      </c>
      <c r="M31" s="17">
        <v>3</v>
      </c>
      <c r="N31" s="17"/>
      <c r="O31" s="17"/>
      <c r="P31" s="18" t="s">
        <v>326</v>
      </c>
      <c r="Q31" s="18"/>
      <c r="R31" s="17" t="s">
        <v>91</v>
      </c>
      <c r="S31" s="18"/>
      <c r="T31" s="18"/>
      <c r="U31" s="17"/>
      <c r="V31" s="18"/>
      <c r="W31" s="18"/>
      <c r="X31" s="17"/>
      <c r="Y31" s="18"/>
      <c r="Z31" s="18" t="s">
        <v>967</v>
      </c>
      <c r="AA31" s="17" t="s">
        <v>93</v>
      </c>
      <c r="AB31" s="18"/>
      <c r="AC31" s="18"/>
      <c r="AD31" s="17"/>
      <c r="AE31" s="17"/>
      <c r="AF31" s="17" t="s">
        <v>328</v>
      </c>
      <c r="AG31" s="18"/>
      <c r="AH31" s="52">
        <v>46113</v>
      </c>
      <c r="AI31" s="52">
        <v>46478</v>
      </c>
      <c r="AJ31" s="17" t="s">
        <v>97</v>
      </c>
      <c r="AK31" s="18" t="s">
        <v>945</v>
      </c>
      <c r="AL31" s="18"/>
      <c r="AM31" s="18"/>
      <c r="AN31" s="18"/>
    </row>
    <row r="32" spans="1:40" ht="51" x14ac:dyDescent="0.25">
      <c r="A32" s="12" t="s">
        <v>329</v>
      </c>
      <c r="B32" s="13" t="s">
        <v>330</v>
      </c>
      <c r="C32" s="14" t="s">
        <v>80</v>
      </c>
      <c r="D32" s="13" t="s">
        <v>331</v>
      </c>
      <c r="E32" s="13" t="s">
        <v>332</v>
      </c>
      <c r="F32" s="15" t="s">
        <v>83</v>
      </c>
      <c r="G32" s="12" t="s">
        <v>289</v>
      </c>
      <c r="H32" s="13" t="s">
        <v>85</v>
      </c>
      <c r="I32" s="13" t="s">
        <v>333</v>
      </c>
      <c r="J32" s="13" t="s">
        <v>334</v>
      </c>
      <c r="K32" s="13" t="s">
        <v>335</v>
      </c>
      <c r="L32" s="19" t="s">
        <v>112</v>
      </c>
      <c r="M32" s="12">
        <v>2</v>
      </c>
      <c r="N32" s="12"/>
      <c r="O32" s="12" t="s">
        <v>946</v>
      </c>
      <c r="P32" s="13" t="s">
        <v>336</v>
      </c>
      <c r="Q32" s="13"/>
      <c r="R32" s="12" t="s">
        <v>91</v>
      </c>
      <c r="S32" s="13"/>
      <c r="T32" s="13"/>
      <c r="U32" s="12"/>
      <c r="V32" s="13"/>
      <c r="W32" s="13"/>
      <c r="X32" s="12"/>
      <c r="Y32" s="13"/>
      <c r="Z32" s="13" t="s">
        <v>968</v>
      </c>
      <c r="AA32" s="12"/>
      <c r="AB32" s="13" t="s">
        <v>114</v>
      </c>
      <c r="AC32" s="13" t="s">
        <v>338</v>
      </c>
      <c r="AD32" s="12" t="s">
        <v>339</v>
      </c>
      <c r="AE32" s="12"/>
      <c r="AF32" s="12" t="s">
        <v>340</v>
      </c>
      <c r="AG32" s="13"/>
      <c r="AH32" s="51">
        <v>46113</v>
      </c>
      <c r="AI32" s="51">
        <v>46478</v>
      </c>
      <c r="AJ32" s="12" t="s">
        <v>97</v>
      </c>
      <c r="AK32" s="13" t="s">
        <v>945</v>
      </c>
      <c r="AL32" s="13"/>
      <c r="AM32" s="13"/>
      <c r="AN32" s="13"/>
    </row>
    <row r="33" spans="1:40" ht="51" x14ac:dyDescent="0.25">
      <c r="A33" s="17" t="s">
        <v>341</v>
      </c>
      <c r="B33" s="18" t="s">
        <v>342</v>
      </c>
      <c r="C33" s="14" t="s">
        <v>80</v>
      </c>
      <c r="D33" s="18" t="s">
        <v>343</v>
      </c>
      <c r="E33" s="18" t="s">
        <v>344</v>
      </c>
      <c r="F33" s="15" t="s">
        <v>83</v>
      </c>
      <c r="G33" s="17" t="s">
        <v>289</v>
      </c>
      <c r="H33" s="18" t="s">
        <v>345</v>
      </c>
      <c r="I33" s="18" t="s">
        <v>290</v>
      </c>
      <c r="J33" s="18" t="s">
        <v>334</v>
      </c>
      <c r="K33" s="18" t="s">
        <v>346</v>
      </c>
      <c r="L33" s="19" t="s">
        <v>112</v>
      </c>
      <c r="M33" s="17">
        <v>2</v>
      </c>
      <c r="N33" s="17"/>
      <c r="O33" s="17" t="s">
        <v>946</v>
      </c>
      <c r="P33" s="18" t="s">
        <v>336</v>
      </c>
      <c r="Q33" s="18"/>
      <c r="R33" s="17" t="s">
        <v>91</v>
      </c>
      <c r="S33" s="18"/>
      <c r="T33" s="18"/>
      <c r="U33" s="17"/>
      <c r="V33" s="18"/>
      <c r="W33" s="18"/>
      <c r="X33" s="17"/>
      <c r="Y33" s="18"/>
      <c r="Z33" s="18" t="s">
        <v>969</v>
      </c>
      <c r="AA33" s="17"/>
      <c r="AB33" s="18" t="s">
        <v>114</v>
      </c>
      <c r="AC33" s="18" t="s">
        <v>348</v>
      </c>
      <c r="AD33" s="17"/>
      <c r="AE33" s="17"/>
      <c r="AF33" s="17" t="s">
        <v>349</v>
      </c>
      <c r="AG33" s="18"/>
      <c r="AH33" s="52">
        <v>46113</v>
      </c>
      <c r="AI33" s="52">
        <v>46478</v>
      </c>
      <c r="AJ33" s="17" t="s">
        <v>97</v>
      </c>
      <c r="AK33" s="18" t="s">
        <v>945</v>
      </c>
      <c r="AL33" s="18"/>
      <c r="AM33" s="18"/>
      <c r="AN33" s="18"/>
    </row>
    <row r="34" spans="1:40" ht="51" x14ac:dyDescent="0.25">
      <c r="A34" s="12" t="s">
        <v>350</v>
      </c>
      <c r="B34" s="13" t="s">
        <v>351</v>
      </c>
      <c r="C34" s="14" t="s">
        <v>80</v>
      </c>
      <c r="D34" s="13" t="s">
        <v>352</v>
      </c>
      <c r="E34" s="13" t="s">
        <v>353</v>
      </c>
      <c r="F34" s="15" t="s">
        <v>83</v>
      </c>
      <c r="G34" s="12" t="s">
        <v>84</v>
      </c>
      <c r="H34" s="13" t="s">
        <v>85</v>
      </c>
      <c r="I34" s="13" t="s">
        <v>86</v>
      </c>
      <c r="J34" s="13" t="s">
        <v>354</v>
      </c>
      <c r="K34" s="13" t="s">
        <v>103</v>
      </c>
      <c r="L34" s="19" t="s">
        <v>112</v>
      </c>
      <c r="M34" s="12">
        <v>2</v>
      </c>
      <c r="N34" s="12"/>
      <c r="O34" s="12" t="s">
        <v>946</v>
      </c>
      <c r="P34" s="13" t="s">
        <v>355</v>
      </c>
      <c r="Q34" s="13"/>
      <c r="R34" s="12" t="s">
        <v>91</v>
      </c>
      <c r="S34" s="13"/>
      <c r="T34" s="13"/>
      <c r="U34" s="12"/>
      <c r="V34" s="13"/>
      <c r="W34" s="13"/>
      <c r="X34" s="12"/>
      <c r="Y34" s="13"/>
      <c r="Z34" s="13" t="s">
        <v>970</v>
      </c>
      <c r="AA34" s="12"/>
      <c r="AB34" s="13" t="s">
        <v>114</v>
      </c>
      <c r="AC34" s="13" t="s">
        <v>357</v>
      </c>
      <c r="AD34" s="12"/>
      <c r="AE34" s="12" t="s">
        <v>358</v>
      </c>
      <c r="AF34" s="12" t="s">
        <v>359</v>
      </c>
      <c r="AG34" s="13"/>
      <c r="AH34" s="51">
        <v>46113</v>
      </c>
      <c r="AI34" s="51">
        <v>46478</v>
      </c>
      <c r="AJ34" s="12" t="s">
        <v>97</v>
      </c>
      <c r="AK34" s="13" t="s">
        <v>945</v>
      </c>
      <c r="AL34" s="13"/>
      <c r="AM34" s="13"/>
      <c r="AN34" s="13"/>
    </row>
    <row r="35" spans="1:40" ht="51" x14ac:dyDescent="0.25">
      <c r="A35" s="17" t="s">
        <v>360</v>
      </c>
      <c r="B35" s="18" t="s">
        <v>361</v>
      </c>
      <c r="C35" s="14" t="s">
        <v>80</v>
      </c>
      <c r="D35" s="18" t="s">
        <v>362</v>
      </c>
      <c r="E35" s="18" t="s">
        <v>363</v>
      </c>
      <c r="F35" s="15" t="s">
        <v>83</v>
      </c>
      <c r="G35" s="17" t="s">
        <v>84</v>
      </c>
      <c r="H35" s="18" t="s">
        <v>85</v>
      </c>
      <c r="I35" s="18" t="s">
        <v>86</v>
      </c>
      <c r="J35" s="18" t="s">
        <v>354</v>
      </c>
      <c r="K35" s="18" t="s">
        <v>103</v>
      </c>
      <c r="L35" s="19" t="s">
        <v>112</v>
      </c>
      <c r="M35" s="17">
        <v>2</v>
      </c>
      <c r="N35" s="17"/>
      <c r="O35" s="17" t="s">
        <v>946</v>
      </c>
      <c r="P35" s="18" t="s">
        <v>355</v>
      </c>
      <c r="Q35" s="18"/>
      <c r="R35" s="17" t="s">
        <v>91</v>
      </c>
      <c r="S35" s="18"/>
      <c r="T35" s="18"/>
      <c r="U35" s="17"/>
      <c r="V35" s="18"/>
      <c r="W35" s="18"/>
      <c r="X35" s="17"/>
      <c r="Y35" s="18"/>
      <c r="Z35" s="18" t="s">
        <v>971</v>
      </c>
      <c r="AA35" s="17"/>
      <c r="AB35" s="18" t="s">
        <v>114</v>
      </c>
      <c r="AC35" s="18"/>
      <c r="AD35" s="17"/>
      <c r="AE35" s="17" t="s">
        <v>365</v>
      </c>
      <c r="AF35" s="17" t="s">
        <v>366</v>
      </c>
      <c r="AG35" s="18"/>
      <c r="AH35" s="52">
        <v>46113</v>
      </c>
      <c r="AI35" s="52">
        <v>46478</v>
      </c>
      <c r="AJ35" s="17" t="s">
        <v>97</v>
      </c>
      <c r="AK35" s="18" t="s">
        <v>945</v>
      </c>
      <c r="AL35" s="18"/>
      <c r="AM35" s="18"/>
      <c r="AN35" s="18"/>
    </row>
    <row r="36" spans="1:40" ht="51" x14ac:dyDescent="0.25">
      <c r="A36" s="12" t="s">
        <v>367</v>
      </c>
      <c r="B36" s="13" t="s">
        <v>368</v>
      </c>
      <c r="C36" s="14" t="s">
        <v>80</v>
      </c>
      <c r="D36" s="13" t="s">
        <v>369</v>
      </c>
      <c r="E36" s="13" t="s">
        <v>370</v>
      </c>
      <c r="F36" s="15" t="s">
        <v>83</v>
      </c>
      <c r="G36" s="12" t="s">
        <v>84</v>
      </c>
      <c r="H36" s="13" t="s">
        <v>85</v>
      </c>
      <c r="I36" s="13" t="s">
        <v>111</v>
      </c>
      <c r="J36" s="13" t="s">
        <v>371</v>
      </c>
      <c r="K36" s="13" t="s">
        <v>372</v>
      </c>
      <c r="L36" s="16" t="s">
        <v>89</v>
      </c>
      <c r="M36" s="12">
        <v>3</v>
      </c>
      <c r="N36" s="12"/>
      <c r="O36" s="12"/>
      <c r="P36" s="13" t="s">
        <v>373</v>
      </c>
      <c r="Q36" s="13"/>
      <c r="R36" s="12" t="s">
        <v>91</v>
      </c>
      <c r="S36" s="13"/>
      <c r="T36" s="13"/>
      <c r="U36" s="12"/>
      <c r="V36" s="13"/>
      <c r="W36" s="13"/>
      <c r="X36" s="12"/>
      <c r="Y36" s="13"/>
      <c r="Z36" s="13" t="s">
        <v>972</v>
      </c>
      <c r="AA36" s="12" t="s">
        <v>93</v>
      </c>
      <c r="AB36" s="13"/>
      <c r="AC36" s="13"/>
      <c r="AD36" s="12"/>
      <c r="AE36" s="12" t="s">
        <v>182</v>
      </c>
      <c r="AF36" s="12" t="s">
        <v>375</v>
      </c>
      <c r="AG36" s="13"/>
      <c r="AH36" s="51">
        <v>46113</v>
      </c>
      <c r="AI36" s="51">
        <v>46478</v>
      </c>
      <c r="AJ36" s="12" t="s">
        <v>97</v>
      </c>
      <c r="AK36" s="13" t="s">
        <v>945</v>
      </c>
      <c r="AL36" s="13"/>
      <c r="AM36" s="13"/>
      <c r="AN36" s="13"/>
    </row>
    <row r="37" spans="1:40" ht="51" x14ac:dyDescent="0.25">
      <c r="A37" s="17" t="s">
        <v>376</v>
      </c>
      <c r="B37" s="18" t="s">
        <v>377</v>
      </c>
      <c r="C37" s="14" t="s">
        <v>80</v>
      </c>
      <c r="D37" s="18" t="s">
        <v>378</v>
      </c>
      <c r="E37" s="18" t="s">
        <v>379</v>
      </c>
      <c r="F37" s="15" t="s">
        <v>83</v>
      </c>
      <c r="G37" s="17" t="s">
        <v>84</v>
      </c>
      <c r="H37" s="18" t="s">
        <v>380</v>
      </c>
      <c r="I37" s="18" t="s">
        <v>86</v>
      </c>
      <c r="J37" s="18" t="s">
        <v>371</v>
      </c>
      <c r="K37" s="18" t="s">
        <v>372</v>
      </c>
      <c r="L37" s="16" t="s">
        <v>89</v>
      </c>
      <c r="M37" s="17">
        <v>3</v>
      </c>
      <c r="N37" s="17"/>
      <c r="O37" s="17"/>
      <c r="P37" s="18" t="s">
        <v>381</v>
      </c>
      <c r="Q37" s="18"/>
      <c r="R37" s="17" t="s">
        <v>91</v>
      </c>
      <c r="S37" s="18"/>
      <c r="T37" s="18"/>
      <c r="U37" s="17"/>
      <c r="V37" s="18"/>
      <c r="W37" s="18"/>
      <c r="X37" s="17"/>
      <c r="Y37" s="18"/>
      <c r="Z37" s="18" t="s">
        <v>973</v>
      </c>
      <c r="AA37" s="17" t="s">
        <v>93</v>
      </c>
      <c r="AB37" s="18"/>
      <c r="AC37" s="18" t="s">
        <v>383</v>
      </c>
      <c r="AD37" s="17" t="s">
        <v>384</v>
      </c>
      <c r="AE37" s="17" t="s">
        <v>385</v>
      </c>
      <c r="AF37" s="17" t="s">
        <v>386</v>
      </c>
      <c r="AG37" s="18"/>
      <c r="AH37" s="52">
        <v>46113</v>
      </c>
      <c r="AI37" s="52">
        <v>46478</v>
      </c>
      <c r="AJ37" s="17" t="s">
        <v>97</v>
      </c>
      <c r="AK37" s="18" t="s">
        <v>945</v>
      </c>
      <c r="AL37" s="18"/>
      <c r="AM37" s="18"/>
      <c r="AN37" s="18"/>
    </row>
    <row r="38" spans="1:40" ht="51" x14ac:dyDescent="0.25">
      <c r="A38" s="12" t="s">
        <v>387</v>
      </c>
      <c r="B38" s="13" t="s">
        <v>388</v>
      </c>
      <c r="C38" s="14" t="s">
        <v>80</v>
      </c>
      <c r="D38" s="13" t="s">
        <v>389</v>
      </c>
      <c r="E38" s="13" t="s">
        <v>390</v>
      </c>
      <c r="F38" s="15" t="s">
        <v>83</v>
      </c>
      <c r="G38" s="12" t="s">
        <v>145</v>
      </c>
      <c r="H38" s="13" t="s">
        <v>85</v>
      </c>
      <c r="I38" s="13" t="s">
        <v>86</v>
      </c>
      <c r="J38" s="13" t="s">
        <v>391</v>
      </c>
      <c r="K38" s="13" t="s">
        <v>103</v>
      </c>
      <c r="L38" s="16" t="s">
        <v>89</v>
      </c>
      <c r="M38" s="12">
        <v>3</v>
      </c>
      <c r="N38" s="12"/>
      <c r="O38" s="12"/>
      <c r="P38" s="13" t="s">
        <v>392</v>
      </c>
      <c r="Q38" s="13"/>
      <c r="R38" s="12" t="s">
        <v>91</v>
      </c>
      <c r="S38" s="13"/>
      <c r="T38" s="13"/>
      <c r="U38" s="12"/>
      <c r="V38" s="13"/>
      <c r="W38" s="13"/>
      <c r="X38" s="12"/>
      <c r="Y38" s="13"/>
      <c r="Z38" s="13" t="s">
        <v>944</v>
      </c>
      <c r="AA38" s="12" t="s">
        <v>93</v>
      </c>
      <c r="AB38" s="13"/>
      <c r="AC38" s="13"/>
      <c r="AD38" s="12"/>
      <c r="AE38" s="12"/>
      <c r="AF38" s="12" t="s">
        <v>393</v>
      </c>
      <c r="AG38" s="13"/>
      <c r="AH38" s="51">
        <v>46113</v>
      </c>
      <c r="AI38" s="51">
        <v>46478</v>
      </c>
      <c r="AJ38" s="12" t="s">
        <v>97</v>
      </c>
      <c r="AK38" s="13" t="s">
        <v>945</v>
      </c>
      <c r="AL38" s="13"/>
      <c r="AM38" s="13"/>
      <c r="AN38" s="13"/>
    </row>
    <row r="39" spans="1:40" ht="51" x14ac:dyDescent="0.25">
      <c r="A39" s="17" t="s">
        <v>394</v>
      </c>
      <c r="B39" s="18" t="s">
        <v>395</v>
      </c>
      <c r="C39" s="14" t="s">
        <v>80</v>
      </c>
      <c r="D39" s="18" t="s">
        <v>396</v>
      </c>
      <c r="E39" s="18" t="s">
        <v>397</v>
      </c>
      <c r="F39" s="15" t="s">
        <v>83</v>
      </c>
      <c r="G39" s="17" t="s">
        <v>145</v>
      </c>
      <c r="H39" s="18" t="s">
        <v>85</v>
      </c>
      <c r="I39" s="18" t="s">
        <v>86</v>
      </c>
      <c r="J39" s="18" t="s">
        <v>398</v>
      </c>
      <c r="K39" s="18" t="s">
        <v>103</v>
      </c>
      <c r="L39" s="16" t="s">
        <v>89</v>
      </c>
      <c r="M39" s="17">
        <v>3</v>
      </c>
      <c r="N39" s="17"/>
      <c r="O39" s="17"/>
      <c r="P39" s="18" t="s">
        <v>399</v>
      </c>
      <c r="Q39" s="18"/>
      <c r="R39" s="17" t="s">
        <v>91</v>
      </c>
      <c r="S39" s="18"/>
      <c r="T39" s="18"/>
      <c r="U39" s="17"/>
      <c r="V39" s="18"/>
      <c r="W39" s="18"/>
      <c r="X39" s="17"/>
      <c r="Y39" s="18"/>
      <c r="Z39" s="18" t="s">
        <v>970</v>
      </c>
      <c r="AA39" s="17" t="s">
        <v>93</v>
      </c>
      <c r="AB39" s="18"/>
      <c r="AC39" s="18"/>
      <c r="AD39" s="17"/>
      <c r="AE39" s="17" t="s">
        <v>400</v>
      </c>
      <c r="AF39" s="17" t="s">
        <v>401</v>
      </c>
      <c r="AG39" s="18"/>
      <c r="AH39" s="52">
        <v>46113</v>
      </c>
      <c r="AI39" s="52">
        <v>46478</v>
      </c>
      <c r="AJ39" s="17" t="s">
        <v>97</v>
      </c>
      <c r="AK39" s="18" t="s">
        <v>945</v>
      </c>
      <c r="AL39" s="18"/>
      <c r="AM39" s="18"/>
      <c r="AN39" s="18"/>
    </row>
    <row r="40" spans="1:40" ht="127.5" x14ac:dyDescent="0.25">
      <c r="A40" s="12" t="s">
        <v>402</v>
      </c>
      <c r="B40" s="13" t="s">
        <v>403</v>
      </c>
      <c r="C40" s="14" t="s">
        <v>80</v>
      </c>
      <c r="D40" s="13" t="s">
        <v>404</v>
      </c>
      <c r="E40" s="13" t="s">
        <v>405</v>
      </c>
      <c r="F40" s="15" t="s">
        <v>83</v>
      </c>
      <c r="G40" s="12" t="s">
        <v>289</v>
      </c>
      <c r="H40" s="13" t="s">
        <v>85</v>
      </c>
      <c r="I40" s="13" t="s">
        <v>333</v>
      </c>
      <c r="J40" s="13" t="s">
        <v>406</v>
      </c>
      <c r="K40" s="13" t="s">
        <v>407</v>
      </c>
      <c r="L40" s="16" t="s">
        <v>89</v>
      </c>
      <c r="M40" s="12">
        <v>3</v>
      </c>
      <c r="N40" s="12"/>
      <c r="O40" s="12"/>
      <c r="P40" s="13" t="s">
        <v>168</v>
      </c>
      <c r="Q40" s="13"/>
      <c r="R40" s="12" t="s">
        <v>91</v>
      </c>
      <c r="S40" s="13"/>
      <c r="T40" s="13"/>
      <c r="U40" s="12"/>
      <c r="V40" s="13"/>
      <c r="W40" s="13"/>
      <c r="X40" s="12"/>
      <c r="Y40" s="13"/>
      <c r="Z40" s="13" t="s">
        <v>966</v>
      </c>
      <c r="AA40" s="12" t="s">
        <v>93</v>
      </c>
      <c r="AB40" s="13"/>
      <c r="AC40" s="13"/>
      <c r="AD40" s="12"/>
      <c r="AE40" s="12"/>
      <c r="AF40" s="12" t="s">
        <v>408</v>
      </c>
      <c r="AG40" s="13"/>
      <c r="AH40" s="51">
        <v>46113</v>
      </c>
      <c r="AI40" s="51">
        <v>46478</v>
      </c>
      <c r="AJ40" s="12" t="s">
        <v>97</v>
      </c>
      <c r="AK40" s="13" t="s">
        <v>945</v>
      </c>
      <c r="AL40" s="13"/>
      <c r="AM40" s="13"/>
      <c r="AN40" s="13"/>
    </row>
    <row r="41" spans="1:40" ht="51" x14ac:dyDescent="0.25">
      <c r="A41" s="17" t="s">
        <v>409</v>
      </c>
      <c r="B41" s="18" t="s">
        <v>410</v>
      </c>
      <c r="C41" s="14" t="s">
        <v>80</v>
      </c>
      <c r="D41" s="18" t="s">
        <v>411</v>
      </c>
      <c r="E41" s="18" t="s">
        <v>412</v>
      </c>
      <c r="F41" s="21" t="s">
        <v>413</v>
      </c>
      <c r="G41" s="17" t="s">
        <v>84</v>
      </c>
      <c r="H41" s="18" t="s">
        <v>85</v>
      </c>
      <c r="I41" s="18" t="s">
        <v>111</v>
      </c>
      <c r="J41" s="18" t="s">
        <v>414</v>
      </c>
      <c r="K41" s="18" t="s">
        <v>159</v>
      </c>
      <c r="L41" s="20" t="s">
        <v>177</v>
      </c>
      <c r="M41" s="17">
        <v>1</v>
      </c>
      <c r="N41" s="17"/>
      <c r="O41" s="17" t="s">
        <v>946</v>
      </c>
      <c r="P41" s="18" t="s">
        <v>415</v>
      </c>
      <c r="Q41" s="18"/>
      <c r="R41" s="17" t="s">
        <v>91</v>
      </c>
      <c r="S41" s="18"/>
      <c r="T41" s="18"/>
      <c r="U41" s="17"/>
      <c r="V41" s="18"/>
      <c r="W41" s="18"/>
      <c r="X41" s="17"/>
      <c r="Y41" s="18"/>
      <c r="Z41" s="18" t="s">
        <v>974</v>
      </c>
      <c r="AA41" s="17"/>
      <c r="AB41" s="18" t="s">
        <v>114</v>
      </c>
      <c r="AC41" s="18" t="s">
        <v>417</v>
      </c>
      <c r="AD41" s="17" t="s">
        <v>418</v>
      </c>
      <c r="AE41" s="17" t="s">
        <v>419</v>
      </c>
      <c r="AF41" s="17" t="s">
        <v>420</v>
      </c>
      <c r="AG41" s="18"/>
      <c r="AH41" s="52">
        <v>46113</v>
      </c>
      <c r="AI41" s="52">
        <v>46478</v>
      </c>
      <c r="AJ41" s="17" t="s">
        <v>97</v>
      </c>
      <c r="AK41" s="18" t="s">
        <v>945</v>
      </c>
      <c r="AL41" s="18"/>
      <c r="AM41" s="18"/>
      <c r="AN41" s="18"/>
    </row>
    <row r="42" spans="1:40" ht="51" x14ac:dyDescent="0.25">
      <c r="A42" s="12" t="s">
        <v>421</v>
      </c>
      <c r="B42" s="13" t="s">
        <v>422</v>
      </c>
      <c r="C42" s="14" t="s">
        <v>80</v>
      </c>
      <c r="D42" s="13" t="s">
        <v>423</v>
      </c>
      <c r="E42" s="13" t="s">
        <v>424</v>
      </c>
      <c r="F42" s="21" t="s">
        <v>413</v>
      </c>
      <c r="G42" s="12" t="s">
        <v>84</v>
      </c>
      <c r="H42" s="13" t="s">
        <v>85</v>
      </c>
      <c r="I42" s="13" t="s">
        <v>111</v>
      </c>
      <c r="J42" s="13" t="s">
        <v>414</v>
      </c>
      <c r="K42" s="13" t="s">
        <v>159</v>
      </c>
      <c r="L42" s="20" t="s">
        <v>177</v>
      </c>
      <c r="M42" s="12">
        <v>1</v>
      </c>
      <c r="N42" s="12"/>
      <c r="O42" s="12" t="s">
        <v>946</v>
      </c>
      <c r="P42" s="13" t="s">
        <v>425</v>
      </c>
      <c r="Q42" s="13"/>
      <c r="R42" s="12" t="s">
        <v>91</v>
      </c>
      <c r="S42" s="13"/>
      <c r="T42" s="13"/>
      <c r="U42" s="12"/>
      <c r="V42" s="13"/>
      <c r="W42" s="13"/>
      <c r="X42" s="12"/>
      <c r="Y42" s="13"/>
      <c r="Z42" s="13" t="s">
        <v>975</v>
      </c>
      <c r="AA42" s="12"/>
      <c r="AB42" s="13" t="s">
        <v>114</v>
      </c>
      <c r="AC42" s="13"/>
      <c r="AD42" s="12"/>
      <c r="AE42" s="12" t="s">
        <v>427</v>
      </c>
      <c r="AF42" s="12" t="s">
        <v>428</v>
      </c>
      <c r="AG42" s="13"/>
      <c r="AH42" s="51">
        <v>46113</v>
      </c>
      <c r="AI42" s="51">
        <v>46478</v>
      </c>
      <c r="AJ42" s="12" t="s">
        <v>97</v>
      </c>
      <c r="AK42" s="13" t="s">
        <v>945</v>
      </c>
      <c r="AL42" s="13"/>
      <c r="AM42" s="13"/>
      <c r="AN42" s="13"/>
    </row>
    <row r="43" spans="1:40" ht="51" x14ac:dyDescent="0.25">
      <c r="A43" s="17" t="s">
        <v>429</v>
      </c>
      <c r="B43" s="18" t="s">
        <v>430</v>
      </c>
      <c r="C43" s="14" t="s">
        <v>80</v>
      </c>
      <c r="D43" s="18" t="s">
        <v>431</v>
      </c>
      <c r="E43" s="18" t="s">
        <v>432</v>
      </c>
      <c r="F43" s="21" t="s">
        <v>413</v>
      </c>
      <c r="G43" s="17" t="s">
        <v>84</v>
      </c>
      <c r="H43" s="18" t="s">
        <v>85</v>
      </c>
      <c r="I43" s="18" t="s">
        <v>111</v>
      </c>
      <c r="J43" s="18" t="s">
        <v>414</v>
      </c>
      <c r="K43" s="18" t="s">
        <v>159</v>
      </c>
      <c r="L43" s="16" t="s">
        <v>89</v>
      </c>
      <c r="M43" s="17">
        <v>3</v>
      </c>
      <c r="N43" s="17"/>
      <c r="O43" s="17"/>
      <c r="P43" s="18" t="s">
        <v>415</v>
      </c>
      <c r="Q43" s="18"/>
      <c r="R43" s="17" t="s">
        <v>91</v>
      </c>
      <c r="S43" s="18"/>
      <c r="T43" s="18"/>
      <c r="U43" s="17"/>
      <c r="V43" s="18"/>
      <c r="W43" s="18"/>
      <c r="X43" s="17"/>
      <c r="Y43" s="18"/>
      <c r="Z43" s="18" t="s">
        <v>976</v>
      </c>
      <c r="AA43" s="17" t="s">
        <v>93</v>
      </c>
      <c r="AB43" s="18"/>
      <c r="AC43" s="18" t="s">
        <v>417</v>
      </c>
      <c r="AD43" s="17" t="s">
        <v>434</v>
      </c>
      <c r="AE43" s="17" t="s">
        <v>419</v>
      </c>
      <c r="AF43" s="17" t="s">
        <v>435</v>
      </c>
      <c r="AG43" s="18"/>
      <c r="AH43" s="52">
        <v>46113</v>
      </c>
      <c r="AI43" s="52">
        <v>46478</v>
      </c>
      <c r="AJ43" s="17" t="s">
        <v>97</v>
      </c>
      <c r="AK43" s="18" t="s">
        <v>945</v>
      </c>
      <c r="AL43" s="18"/>
      <c r="AM43" s="18"/>
      <c r="AN43" s="18"/>
    </row>
    <row r="44" spans="1:40" ht="51" x14ac:dyDescent="0.25">
      <c r="A44" s="12" t="s">
        <v>436</v>
      </c>
      <c r="B44" s="13" t="s">
        <v>437</v>
      </c>
      <c r="C44" s="14" t="s">
        <v>80</v>
      </c>
      <c r="D44" s="13" t="s">
        <v>438</v>
      </c>
      <c r="E44" s="13" t="s">
        <v>439</v>
      </c>
      <c r="F44" s="21" t="s">
        <v>413</v>
      </c>
      <c r="G44" s="12" t="s">
        <v>289</v>
      </c>
      <c r="H44" s="13" t="s">
        <v>85</v>
      </c>
      <c r="I44" s="13" t="s">
        <v>440</v>
      </c>
      <c r="J44" s="13" t="s">
        <v>414</v>
      </c>
      <c r="K44" s="13" t="s">
        <v>103</v>
      </c>
      <c r="L44" s="16" t="s">
        <v>89</v>
      </c>
      <c r="M44" s="12">
        <v>3</v>
      </c>
      <c r="N44" s="12"/>
      <c r="O44" s="12"/>
      <c r="P44" s="13" t="s">
        <v>441</v>
      </c>
      <c r="Q44" s="13"/>
      <c r="R44" s="12" t="s">
        <v>91</v>
      </c>
      <c r="S44" s="13"/>
      <c r="T44" s="13"/>
      <c r="U44" s="12"/>
      <c r="V44" s="13"/>
      <c r="W44" s="13"/>
      <c r="X44" s="12"/>
      <c r="Y44" s="13"/>
      <c r="Z44" s="13" t="s">
        <v>977</v>
      </c>
      <c r="AA44" s="12" t="s">
        <v>93</v>
      </c>
      <c r="AB44" s="13"/>
      <c r="AC44" s="13"/>
      <c r="AD44" s="12"/>
      <c r="AE44" s="12"/>
      <c r="AF44" s="12" t="s">
        <v>443</v>
      </c>
      <c r="AG44" s="13"/>
      <c r="AH44" s="51">
        <v>46113</v>
      </c>
      <c r="AI44" s="51">
        <v>46478</v>
      </c>
      <c r="AJ44" s="12" t="s">
        <v>97</v>
      </c>
      <c r="AK44" s="13" t="s">
        <v>945</v>
      </c>
      <c r="AL44" s="13"/>
      <c r="AM44" s="13"/>
      <c r="AN44" s="13"/>
    </row>
    <row r="45" spans="1:40" ht="38.25" x14ac:dyDescent="0.25">
      <c r="A45" s="17" t="s">
        <v>444</v>
      </c>
      <c r="B45" s="18" t="s">
        <v>445</v>
      </c>
      <c r="C45" s="14" t="s">
        <v>80</v>
      </c>
      <c r="D45" s="18" t="s">
        <v>446</v>
      </c>
      <c r="E45" s="18" t="s">
        <v>447</v>
      </c>
      <c r="F45" s="21" t="s">
        <v>413</v>
      </c>
      <c r="G45" s="17" t="s">
        <v>84</v>
      </c>
      <c r="H45" s="18" t="s">
        <v>85</v>
      </c>
      <c r="I45" s="18" t="s">
        <v>111</v>
      </c>
      <c r="J45" s="18" t="s">
        <v>448</v>
      </c>
      <c r="K45" s="18" t="s">
        <v>188</v>
      </c>
      <c r="L45" s="20" t="s">
        <v>177</v>
      </c>
      <c r="M45" s="17">
        <v>1</v>
      </c>
      <c r="N45" s="17"/>
      <c r="O45" s="17" t="s">
        <v>946</v>
      </c>
      <c r="P45" s="18" t="s">
        <v>449</v>
      </c>
      <c r="Q45" s="18"/>
      <c r="R45" s="17" t="s">
        <v>91</v>
      </c>
      <c r="S45" s="18"/>
      <c r="T45" s="18"/>
      <c r="U45" s="17"/>
      <c r="V45" s="18"/>
      <c r="W45" s="18"/>
      <c r="X45" s="17"/>
      <c r="Y45" s="18"/>
      <c r="Z45" s="18" t="s">
        <v>952</v>
      </c>
      <c r="AA45" s="17"/>
      <c r="AB45" s="18" t="s">
        <v>114</v>
      </c>
      <c r="AC45" s="18"/>
      <c r="AD45" s="17"/>
      <c r="AE45" s="17"/>
      <c r="AF45" s="17" t="s">
        <v>450</v>
      </c>
      <c r="AG45" s="18"/>
      <c r="AH45" s="52">
        <v>46113</v>
      </c>
      <c r="AI45" s="52">
        <v>46478</v>
      </c>
      <c r="AJ45" s="17" t="s">
        <v>97</v>
      </c>
      <c r="AK45" s="18" t="s">
        <v>945</v>
      </c>
      <c r="AL45" s="18"/>
      <c r="AM45" s="18"/>
      <c r="AN45" s="18"/>
    </row>
    <row r="46" spans="1:40" ht="51" x14ac:dyDescent="0.25">
      <c r="A46" s="12" t="s">
        <v>451</v>
      </c>
      <c r="B46" s="13" t="s">
        <v>452</v>
      </c>
      <c r="C46" s="14" t="s">
        <v>80</v>
      </c>
      <c r="D46" s="13" t="s">
        <v>453</v>
      </c>
      <c r="E46" s="13" t="s">
        <v>454</v>
      </c>
      <c r="F46" s="21" t="s">
        <v>413</v>
      </c>
      <c r="G46" s="12" t="s">
        <v>84</v>
      </c>
      <c r="H46" s="13" t="s">
        <v>380</v>
      </c>
      <c r="I46" s="13" t="s">
        <v>111</v>
      </c>
      <c r="J46" s="13" t="s">
        <v>455</v>
      </c>
      <c r="K46" s="13" t="s">
        <v>188</v>
      </c>
      <c r="L46" s="16" t="s">
        <v>89</v>
      </c>
      <c r="M46" s="12">
        <v>3</v>
      </c>
      <c r="N46" s="12"/>
      <c r="O46" s="12"/>
      <c r="P46" s="13" t="s">
        <v>456</v>
      </c>
      <c r="Q46" s="13"/>
      <c r="R46" s="12" t="s">
        <v>91</v>
      </c>
      <c r="S46" s="13"/>
      <c r="T46" s="13"/>
      <c r="U46" s="12"/>
      <c r="V46" s="13"/>
      <c r="W46" s="13"/>
      <c r="X46" s="12"/>
      <c r="Y46" s="13"/>
      <c r="Z46" s="13" t="s">
        <v>978</v>
      </c>
      <c r="AA46" s="12" t="s">
        <v>93</v>
      </c>
      <c r="AB46" s="13"/>
      <c r="AC46" s="13" t="s">
        <v>417</v>
      </c>
      <c r="AD46" s="12" t="s">
        <v>458</v>
      </c>
      <c r="AE46" s="12" t="s">
        <v>419</v>
      </c>
      <c r="AF46" s="12" t="s">
        <v>428</v>
      </c>
      <c r="AG46" s="13"/>
      <c r="AH46" s="51">
        <v>46113</v>
      </c>
      <c r="AI46" s="51">
        <v>46478</v>
      </c>
      <c r="AJ46" s="12" t="s">
        <v>97</v>
      </c>
      <c r="AK46" s="13" t="s">
        <v>945</v>
      </c>
      <c r="AL46" s="13"/>
      <c r="AM46" s="13"/>
      <c r="AN46" s="13"/>
    </row>
    <row r="47" spans="1:40" ht="51" x14ac:dyDescent="0.25">
      <c r="A47" s="17" t="s">
        <v>459</v>
      </c>
      <c r="B47" s="18" t="s">
        <v>460</v>
      </c>
      <c r="C47" s="14" t="s">
        <v>80</v>
      </c>
      <c r="D47" s="18" t="s">
        <v>461</v>
      </c>
      <c r="E47" s="18" t="s">
        <v>462</v>
      </c>
      <c r="F47" s="21" t="s">
        <v>413</v>
      </c>
      <c r="G47" s="17" t="s">
        <v>84</v>
      </c>
      <c r="H47" s="18" t="s">
        <v>85</v>
      </c>
      <c r="I47" s="18" t="s">
        <v>111</v>
      </c>
      <c r="J47" s="18" t="s">
        <v>463</v>
      </c>
      <c r="K47" s="18" t="s">
        <v>188</v>
      </c>
      <c r="L47" s="20" t="s">
        <v>177</v>
      </c>
      <c r="M47" s="17">
        <v>1</v>
      </c>
      <c r="N47" s="17"/>
      <c r="O47" s="17" t="s">
        <v>946</v>
      </c>
      <c r="P47" s="18" t="s">
        <v>464</v>
      </c>
      <c r="Q47" s="18"/>
      <c r="R47" s="17" t="s">
        <v>91</v>
      </c>
      <c r="S47" s="18"/>
      <c r="T47" s="18"/>
      <c r="U47" s="17"/>
      <c r="V47" s="18"/>
      <c r="W47" s="18"/>
      <c r="X47" s="17"/>
      <c r="Y47" s="18"/>
      <c r="Z47" s="18" t="s">
        <v>979</v>
      </c>
      <c r="AA47" s="17"/>
      <c r="AB47" s="18" t="s">
        <v>114</v>
      </c>
      <c r="AC47" s="18"/>
      <c r="AD47" s="17"/>
      <c r="AE47" s="17"/>
      <c r="AF47" s="17" t="s">
        <v>466</v>
      </c>
      <c r="AG47" s="18"/>
      <c r="AH47" s="52">
        <v>46113</v>
      </c>
      <c r="AI47" s="52">
        <v>46478</v>
      </c>
      <c r="AJ47" s="17" t="s">
        <v>97</v>
      </c>
      <c r="AK47" s="18" t="s">
        <v>945</v>
      </c>
      <c r="AL47" s="18"/>
      <c r="AM47" s="18"/>
      <c r="AN47" s="18"/>
    </row>
    <row r="48" spans="1:40" ht="51" x14ac:dyDescent="0.25">
      <c r="A48" s="12" t="s">
        <v>467</v>
      </c>
      <c r="B48" s="13" t="s">
        <v>468</v>
      </c>
      <c r="C48" s="14" t="s">
        <v>80</v>
      </c>
      <c r="D48" s="13" t="s">
        <v>469</v>
      </c>
      <c r="E48" s="13" t="s">
        <v>470</v>
      </c>
      <c r="F48" s="21" t="s">
        <v>413</v>
      </c>
      <c r="G48" s="12" t="s">
        <v>302</v>
      </c>
      <c r="H48" s="13" t="s">
        <v>85</v>
      </c>
      <c r="I48" s="13" t="s">
        <v>303</v>
      </c>
      <c r="J48" s="13" t="s">
        <v>304</v>
      </c>
      <c r="K48" s="13" t="s">
        <v>136</v>
      </c>
      <c r="L48" s="16" t="s">
        <v>89</v>
      </c>
      <c r="M48" s="12">
        <v>3</v>
      </c>
      <c r="N48" s="12"/>
      <c r="O48" s="12"/>
      <c r="P48" s="13" t="s">
        <v>149</v>
      </c>
      <c r="Q48" s="13"/>
      <c r="R48" s="12" t="s">
        <v>91</v>
      </c>
      <c r="S48" s="13"/>
      <c r="T48" s="13"/>
      <c r="U48" s="12"/>
      <c r="V48" s="13"/>
      <c r="W48" s="13"/>
      <c r="X48" s="12"/>
      <c r="Y48" s="13"/>
      <c r="Z48" s="13" t="s">
        <v>980</v>
      </c>
      <c r="AA48" s="12" t="s">
        <v>93</v>
      </c>
      <c r="AB48" s="13"/>
      <c r="AC48" s="13" t="s">
        <v>294</v>
      </c>
      <c r="AD48" s="12"/>
      <c r="AE48" s="12"/>
      <c r="AF48" s="12" t="s">
        <v>472</v>
      </c>
      <c r="AG48" s="13"/>
      <c r="AH48" s="51">
        <v>46113</v>
      </c>
      <c r="AI48" s="51">
        <v>46478</v>
      </c>
      <c r="AJ48" s="12" t="s">
        <v>97</v>
      </c>
      <c r="AK48" s="13" t="s">
        <v>945</v>
      </c>
      <c r="AL48" s="13"/>
      <c r="AM48" s="13"/>
      <c r="AN48" s="13"/>
    </row>
    <row r="49" spans="1:40" ht="51" x14ac:dyDescent="0.25">
      <c r="A49" s="17" t="s">
        <v>473</v>
      </c>
      <c r="B49" s="18" t="s">
        <v>474</v>
      </c>
      <c r="C49" s="14" t="s">
        <v>80</v>
      </c>
      <c r="D49" s="18" t="s">
        <v>475</v>
      </c>
      <c r="E49" s="18" t="s">
        <v>476</v>
      </c>
      <c r="F49" s="14" t="s">
        <v>477</v>
      </c>
      <c r="G49" s="17" t="s">
        <v>84</v>
      </c>
      <c r="H49" s="18" t="s">
        <v>85</v>
      </c>
      <c r="I49" s="18" t="s">
        <v>111</v>
      </c>
      <c r="J49" s="18" t="s">
        <v>478</v>
      </c>
      <c r="K49" s="18" t="s">
        <v>188</v>
      </c>
      <c r="L49" s="20" t="s">
        <v>177</v>
      </c>
      <c r="M49" s="17">
        <v>1</v>
      </c>
      <c r="N49" s="17"/>
      <c r="O49" s="17" t="s">
        <v>946</v>
      </c>
      <c r="P49" s="18" t="s">
        <v>479</v>
      </c>
      <c r="Q49" s="18"/>
      <c r="R49" s="17" t="s">
        <v>91</v>
      </c>
      <c r="S49" s="18"/>
      <c r="T49" s="18"/>
      <c r="U49" s="17"/>
      <c r="V49" s="18"/>
      <c r="W49" s="18"/>
      <c r="X49" s="17"/>
      <c r="Y49" s="18"/>
      <c r="Z49" s="18" t="s">
        <v>981</v>
      </c>
      <c r="AA49" s="17"/>
      <c r="AB49" s="18" t="s">
        <v>114</v>
      </c>
      <c r="AC49" s="18" t="s">
        <v>481</v>
      </c>
      <c r="AD49" s="17" t="s">
        <v>482</v>
      </c>
      <c r="AE49" s="17"/>
      <c r="AF49" s="17" t="s">
        <v>483</v>
      </c>
      <c r="AG49" s="18"/>
      <c r="AH49" s="52">
        <v>46113</v>
      </c>
      <c r="AI49" s="52">
        <v>46478</v>
      </c>
      <c r="AJ49" s="17" t="s">
        <v>97</v>
      </c>
      <c r="AK49" s="18" t="s">
        <v>945</v>
      </c>
      <c r="AL49" s="18"/>
      <c r="AM49" s="18"/>
      <c r="AN49" s="18"/>
    </row>
    <row r="50" spans="1:40" ht="38.25" x14ac:dyDescent="0.25">
      <c r="A50" s="12" t="s">
        <v>484</v>
      </c>
      <c r="B50" s="13" t="s">
        <v>485</v>
      </c>
      <c r="C50" s="14" t="s">
        <v>80</v>
      </c>
      <c r="D50" s="13" t="s">
        <v>486</v>
      </c>
      <c r="E50" s="13" t="s">
        <v>476</v>
      </c>
      <c r="F50" s="14" t="s">
        <v>477</v>
      </c>
      <c r="G50" s="12" t="s">
        <v>145</v>
      </c>
      <c r="H50" s="13" t="s">
        <v>85</v>
      </c>
      <c r="I50" s="13" t="s">
        <v>111</v>
      </c>
      <c r="J50" s="13" t="s">
        <v>487</v>
      </c>
      <c r="K50" s="13" t="s">
        <v>188</v>
      </c>
      <c r="L50" s="20" t="s">
        <v>177</v>
      </c>
      <c r="M50" s="12">
        <v>1</v>
      </c>
      <c r="N50" s="12"/>
      <c r="O50" s="12" t="s">
        <v>946</v>
      </c>
      <c r="P50" s="13" t="s">
        <v>479</v>
      </c>
      <c r="Q50" s="13"/>
      <c r="R50" s="12" t="s">
        <v>91</v>
      </c>
      <c r="S50" s="13"/>
      <c r="T50" s="13"/>
      <c r="U50" s="12"/>
      <c r="V50" s="13"/>
      <c r="W50" s="13"/>
      <c r="X50" s="12"/>
      <c r="Y50" s="13"/>
      <c r="Z50" s="13" t="s">
        <v>981</v>
      </c>
      <c r="AA50" s="12"/>
      <c r="AB50" s="13" t="s">
        <v>114</v>
      </c>
      <c r="AC50" s="13"/>
      <c r="AD50" s="12" t="s">
        <v>488</v>
      </c>
      <c r="AE50" s="12"/>
      <c r="AF50" s="12" t="s">
        <v>489</v>
      </c>
      <c r="AG50" s="13"/>
      <c r="AH50" s="51">
        <v>46113</v>
      </c>
      <c r="AI50" s="51">
        <v>46478</v>
      </c>
      <c r="AJ50" s="12" t="s">
        <v>97</v>
      </c>
      <c r="AK50" s="13" t="s">
        <v>945</v>
      </c>
      <c r="AL50" s="13"/>
      <c r="AM50" s="13"/>
      <c r="AN50" s="13"/>
    </row>
    <row r="51" spans="1:40" ht="38.25" x14ac:dyDescent="0.25">
      <c r="A51" s="17" t="s">
        <v>490</v>
      </c>
      <c r="B51" s="18" t="s">
        <v>491</v>
      </c>
      <c r="C51" s="14" t="s">
        <v>80</v>
      </c>
      <c r="D51" s="18" t="s">
        <v>492</v>
      </c>
      <c r="E51" s="18" t="s">
        <v>493</v>
      </c>
      <c r="F51" s="14" t="s">
        <v>477</v>
      </c>
      <c r="G51" s="17" t="s">
        <v>84</v>
      </c>
      <c r="H51" s="18" t="s">
        <v>85</v>
      </c>
      <c r="I51" s="18" t="s">
        <v>111</v>
      </c>
      <c r="J51" s="18" t="s">
        <v>494</v>
      </c>
      <c r="K51" s="18" t="s">
        <v>188</v>
      </c>
      <c r="L51" s="20" t="s">
        <v>177</v>
      </c>
      <c r="M51" s="17">
        <v>1</v>
      </c>
      <c r="N51" s="17"/>
      <c r="O51" s="17" t="s">
        <v>946</v>
      </c>
      <c r="P51" s="18" t="s">
        <v>479</v>
      </c>
      <c r="Q51" s="18"/>
      <c r="R51" s="17" t="s">
        <v>91</v>
      </c>
      <c r="S51" s="18"/>
      <c r="T51" s="18"/>
      <c r="U51" s="17"/>
      <c r="V51" s="18"/>
      <c r="W51" s="18"/>
      <c r="X51" s="17"/>
      <c r="Y51" s="18"/>
      <c r="Z51" s="18" t="s">
        <v>981</v>
      </c>
      <c r="AA51" s="17"/>
      <c r="AB51" s="18" t="s">
        <v>114</v>
      </c>
      <c r="AC51" s="18"/>
      <c r="AD51" s="17" t="s">
        <v>482</v>
      </c>
      <c r="AE51" s="17"/>
      <c r="AF51" s="17" t="s">
        <v>495</v>
      </c>
      <c r="AG51" s="18"/>
      <c r="AH51" s="52">
        <v>46113</v>
      </c>
      <c r="AI51" s="52">
        <v>46478</v>
      </c>
      <c r="AJ51" s="17" t="s">
        <v>97</v>
      </c>
      <c r="AK51" s="18" t="s">
        <v>945</v>
      </c>
      <c r="AL51" s="18"/>
      <c r="AM51" s="18"/>
      <c r="AN51" s="18"/>
    </row>
    <row r="52" spans="1:40" ht="38.25" x14ac:dyDescent="0.25">
      <c r="A52" s="12" t="s">
        <v>496</v>
      </c>
      <c r="B52" s="13" t="s">
        <v>497</v>
      </c>
      <c r="C52" s="14" t="s">
        <v>80</v>
      </c>
      <c r="D52" s="13" t="s">
        <v>498</v>
      </c>
      <c r="E52" s="13" t="s">
        <v>476</v>
      </c>
      <c r="F52" s="14" t="s">
        <v>477</v>
      </c>
      <c r="G52" s="12" t="s">
        <v>145</v>
      </c>
      <c r="H52" s="13" t="s">
        <v>85</v>
      </c>
      <c r="I52" s="13" t="s">
        <v>499</v>
      </c>
      <c r="J52" s="13" t="s">
        <v>478</v>
      </c>
      <c r="K52" s="13" t="s">
        <v>197</v>
      </c>
      <c r="L52" s="20" t="s">
        <v>177</v>
      </c>
      <c r="M52" s="12">
        <v>1</v>
      </c>
      <c r="N52" s="12"/>
      <c r="O52" s="12" t="s">
        <v>946</v>
      </c>
      <c r="P52" s="13" t="s">
        <v>479</v>
      </c>
      <c r="Q52" s="13"/>
      <c r="R52" s="12" t="s">
        <v>91</v>
      </c>
      <c r="S52" s="13"/>
      <c r="T52" s="13"/>
      <c r="U52" s="12"/>
      <c r="V52" s="13"/>
      <c r="W52" s="13"/>
      <c r="X52" s="12"/>
      <c r="Y52" s="13"/>
      <c r="Z52" s="13" t="s">
        <v>982</v>
      </c>
      <c r="AA52" s="12"/>
      <c r="AB52" s="13" t="s">
        <v>114</v>
      </c>
      <c r="AC52" s="13" t="s">
        <v>481</v>
      </c>
      <c r="AD52" s="12" t="s">
        <v>482</v>
      </c>
      <c r="AE52" s="12"/>
      <c r="AF52" s="12" t="s">
        <v>501</v>
      </c>
      <c r="AG52" s="13"/>
      <c r="AH52" s="51">
        <v>46113</v>
      </c>
      <c r="AI52" s="51">
        <v>46478</v>
      </c>
      <c r="AJ52" s="12" t="s">
        <v>97</v>
      </c>
      <c r="AK52" s="13" t="s">
        <v>945</v>
      </c>
      <c r="AL52" s="13"/>
      <c r="AM52" s="13"/>
      <c r="AN52" s="13"/>
    </row>
    <row r="53" spans="1:40" ht="51" x14ac:dyDescent="0.25">
      <c r="A53" s="17" t="s">
        <v>502</v>
      </c>
      <c r="B53" s="18" t="s">
        <v>503</v>
      </c>
      <c r="C53" s="14" t="s">
        <v>80</v>
      </c>
      <c r="D53" s="18" t="s">
        <v>504</v>
      </c>
      <c r="E53" s="18" t="s">
        <v>505</v>
      </c>
      <c r="F53" s="14" t="s">
        <v>477</v>
      </c>
      <c r="G53" s="17" t="s">
        <v>84</v>
      </c>
      <c r="H53" s="18" t="s">
        <v>85</v>
      </c>
      <c r="I53" s="18" t="s">
        <v>111</v>
      </c>
      <c r="J53" s="18" t="s">
        <v>478</v>
      </c>
      <c r="K53" s="18" t="s">
        <v>188</v>
      </c>
      <c r="L53" s="19" t="s">
        <v>112</v>
      </c>
      <c r="M53" s="17">
        <v>2</v>
      </c>
      <c r="N53" s="17"/>
      <c r="O53" s="17" t="s">
        <v>946</v>
      </c>
      <c r="P53" s="18" t="s">
        <v>506</v>
      </c>
      <c r="Q53" s="18"/>
      <c r="R53" s="17" t="s">
        <v>91</v>
      </c>
      <c r="S53" s="18"/>
      <c r="T53" s="18"/>
      <c r="U53" s="17"/>
      <c r="V53" s="18"/>
      <c r="W53" s="18"/>
      <c r="X53" s="17"/>
      <c r="Y53" s="18"/>
      <c r="Z53" s="18" t="s">
        <v>983</v>
      </c>
      <c r="AA53" s="17"/>
      <c r="AB53" s="18" t="s">
        <v>114</v>
      </c>
      <c r="AC53" s="18"/>
      <c r="AD53" s="17"/>
      <c r="AE53" s="17"/>
      <c r="AF53" s="17" t="s">
        <v>508</v>
      </c>
      <c r="AG53" s="18"/>
      <c r="AH53" s="52">
        <v>46113</v>
      </c>
      <c r="AI53" s="52">
        <v>46478</v>
      </c>
      <c r="AJ53" s="17" t="s">
        <v>97</v>
      </c>
      <c r="AK53" s="18" t="s">
        <v>945</v>
      </c>
      <c r="AL53" s="18"/>
      <c r="AM53" s="18"/>
      <c r="AN53" s="18"/>
    </row>
    <row r="54" spans="1:40" ht="38.25" x14ac:dyDescent="0.25">
      <c r="A54" s="12" t="s">
        <v>509</v>
      </c>
      <c r="B54" s="13" t="s">
        <v>510</v>
      </c>
      <c r="C54" s="14" t="s">
        <v>80</v>
      </c>
      <c r="D54" s="13" t="s">
        <v>511</v>
      </c>
      <c r="E54" s="13" t="s">
        <v>493</v>
      </c>
      <c r="F54" s="14" t="s">
        <v>477</v>
      </c>
      <c r="G54" s="12" t="s">
        <v>84</v>
      </c>
      <c r="H54" s="13" t="s">
        <v>85</v>
      </c>
      <c r="I54" s="13" t="s">
        <v>111</v>
      </c>
      <c r="J54" s="13" t="s">
        <v>494</v>
      </c>
      <c r="K54" s="13" t="s">
        <v>188</v>
      </c>
      <c r="L54" s="20" t="s">
        <v>177</v>
      </c>
      <c r="M54" s="12">
        <v>1</v>
      </c>
      <c r="N54" s="12"/>
      <c r="O54" s="12" t="s">
        <v>946</v>
      </c>
      <c r="P54" s="13" t="s">
        <v>479</v>
      </c>
      <c r="Q54" s="13"/>
      <c r="R54" s="12" t="s">
        <v>91</v>
      </c>
      <c r="S54" s="13"/>
      <c r="T54" s="13"/>
      <c r="U54" s="12"/>
      <c r="V54" s="13"/>
      <c r="W54" s="13"/>
      <c r="X54" s="12"/>
      <c r="Y54" s="13"/>
      <c r="Z54" s="13" t="s">
        <v>981</v>
      </c>
      <c r="AA54" s="12"/>
      <c r="AB54" s="13" t="s">
        <v>114</v>
      </c>
      <c r="AC54" s="13"/>
      <c r="AD54" s="12"/>
      <c r="AE54" s="12"/>
      <c r="AF54" s="12" t="s">
        <v>512</v>
      </c>
      <c r="AG54" s="13"/>
      <c r="AH54" s="51">
        <v>46113</v>
      </c>
      <c r="AI54" s="51">
        <v>46478</v>
      </c>
      <c r="AJ54" s="12" t="s">
        <v>97</v>
      </c>
      <c r="AK54" s="13" t="s">
        <v>945</v>
      </c>
      <c r="AL54" s="13"/>
      <c r="AM54" s="13"/>
      <c r="AN54" s="13"/>
    </row>
    <row r="55" spans="1:40" ht="38.25" x14ac:dyDescent="0.25">
      <c r="A55" s="17" t="s">
        <v>513</v>
      </c>
      <c r="B55" s="18" t="s">
        <v>514</v>
      </c>
      <c r="C55" s="14" t="s">
        <v>80</v>
      </c>
      <c r="D55" s="18" t="s">
        <v>515</v>
      </c>
      <c r="E55" s="18" t="s">
        <v>516</v>
      </c>
      <c r="F55" s="14" t="s">
        <v>477</v>
      </c>
      <c r="G55" s="17" t="s">
        <v>84</v>
      </c>
      <c r="H55" s="18" t="s">
        <v>380</v>
      </c>
      <c r="I55" s="18" t="s">
        <v>111</v>
      </c>
      <c r="J55" s="18" t="s">
        <v>478</v>
      </c>
      <c r="K55" s="18" t="s">
        <v>188</v>
      </c>
      <c r="L55" s="20" t="s">
        <v>177</v>
      </c>
      <c r="M55" s="17">
        <v>1</v>
      </c>
      <c r="N55" s="17"/>
      <c r="O55" s="17" t="s">
        <v>946</v>
      </c>
      <c r="P55" s="18" t="s">
        <v>517</v>
      </c>
      <c r="Q55" s="18"/>
      <c r="R55" s="17" t="s">
        <v>91</v>
      </c>
      <c r="S55" s="18"/>
      <c r="T55" s="18"/>
      <c r="U55" s="17"/>
      <c r="V55" s="18"/>
      <c r="W55" s="18"/>
      <c r="X55" s="17"/>
      <c r="Y55" s="18"/>
      <c r="Z55" s="18" t="s">
        <v>984</v>
      </c>
      <c r="AA55" s="17"/>
      <c r="AB55" s="18" t="s">
        <v>114</v>
      </c>
      <c r="AC55" s="18"/>
      <c r="AD55" s="17"/>
      <c r="AE55" s="17"/>
      <c r="AF55" s="17" t="s">
        <v>519</v>
      </c>
      <c r="AG55" s="18"/>
      <c r="AH55" s="52">
        <v>46113</v>
      </c>
      <c r="AI55" s="52">
        <v>46478</v>
      </c>
      <c r="AJ55" s="17" t="s">
        <v>97</v>
      </c>
      <c r="AK55" s="18" t="s">
        <v>945</v>
      </c>
      <c r="AL55" s="18"/>
      <c r="AM55" s="18"/>
      <c r="AN55" s="18"/>
    </row>
    <row r="56" spans="1:40" ht="38.25" x14ac:dyDescent="0.25">
      <c r="A56" s="12" t="s">
        <v>520</v>
      </c>
      <c r="B56" s="13" t="s">
        <v>521</v>
      </c>
      <c r="C56" s="14" t="s">
        <v>80</v>
      </c>
      <c r="D56" s="13" t="s">
        <v>522</v>
      </c>
      <c r="E56" s="13" t="s">
        <v>523</v>
      </c>
      <c r="F56" s="14" t="s">
        <v>477</v>
      </c>
      <c r="G56" s="12" t="s">
        <v>84</v>
      </c>
      <c r="H56" s="13" t="s">
        <v>85</v>
      </c>
      <c r="I56" s="13" t="s">
        <v>111</v>
      </c>
      <c r="J56" s="13" t="s">
        <v>494</v>
      </c>
      <c r="K56" s="13" t="s">
        <v>188</v>
      </c>
      <c r="L56" s="20" t="s">
        <v>177</v>
      </c>
      <c r="M56" s="12">
        <v>1</v>
      </c>
      <c r="N56" s="12"/>
      <c r="O56" s="12" t="s">
        <v>946</v>
      </c>
      <c r="P56" s="13" t="s">
        <v>524</v>
      </c>
      <c r="Q56" s="13"/>
      <c r="R56" s="12" t="s">
        <v>91</v>
      </c>
      <c r="S56" s="13"/>
      <c r="T56" s="13"/>
      <c r="U56" s="12"/>
      <c r="V56" s="13"/>
      <c r="W56" s="13"/>
      <c r="X56" s="12"/>
      <c r="Y56" s="13"/>
      <c r="Z56" s="13" t="s">
        <v>985</v>
      </c>
      <c r="AA56" s="12"/>
      <c r="AB56" s="13" t="s">
        <v>114</v>
      </c>
      <c r="AC56" s="13"/>
      <c r="AD56" s="12"/>
      <c r="AE56" s="12"/>
      <c r="AF56" s="12" t="s">
        <v>526</v>
      </c>
      <c r="AG56" s="13"/>
      <c r="AH56" s="51">
        <v>46113</v>
      </c>
      <c r="AI56" s="51">
        <v>46478</v>
      </c>
      <c r="AJ56" s="12" t="s">
        <v>97</v>
      </c>
      <c r="AK56" s="13" t="s">
        <v>945</v>
      </c>
      <c r="AL56" s="13"/>
      <c r="AM56" s="13"/>
      <c r="AN56" s="13"/>
    </row>
    <row r="57" spans="1:40" ht="38.25" x14ac:dyDescent="0.25">
      <c r="A57" s="17" t="s">
        <v>527</v>
      </c>
      <c r="B57" s="18" t="s">
        <v>528</v>
      </c>
      <c r="C57" s="14" t="s">
        <v>80</v>
      </c>
      <c r="D57" s="18" t="s">
        <v>529</v>
      </c>
      <c r="E57" s="18" t="s">
        <v>530</v>
      </c>
      <c r="F57" s="14" t="s">
        <v>477</v>
      </c>
      <c r="G57" s="17" t="s">
        <v>84</v>
      </c>
      <c r="H57" s="18" t="s">
        <v>85</v>
      </c>
      <c r="I57" s="18" t="s">
        <v>111</v>
      </c>
      <c r="J57" s="18" t="s">
        <v>494</v>
      </c>
      <c r="K57" s="18" t="s">
        <v>188</v>
      </c>
      <c r="L57" s="20" t="s">
        <v>177</v>
      </c>
      <c r="M57" s="17">
        <v>1</v>
      </c>
      <c r="N57" s="17"/>
      <c r="O57" s="17" t="s">
        <v>946</v>
      </c>
      <c r="P57" s="18" t="s">
        <v>524</v>
      </c>
      <c r="Q57" s="18"/>
      <c r="R57" s="17" t="s">
        <v>91</v>
      </c>
      <c r="S57" s="18"/>
      <c r="T57" s="18"/>
      <c r="U57" s="17"/>
      <c r="V57" s="18"/>
      <c r="W57" s="18"/>
      <c r="X57" s="17"/>
      <c r="Y57" s="18"/>
      <c r="Z57" s="18" t="s">
        <v>981</v>
      </c>
      <c r="AA57" s="17"/>
      <c r="AB57" s="18" t="s">
        <v>114</v>
      </c>
      <c r="AC57" s="18"/>
      <c r="AD57" s="17"/>
      <c r="AE57" s="17"/>
      <c r="AF57" s="17" t="s">
        <v>531</v>
      </c>
      <c r="AG57" s="18"/>
      <c r="AH57" s="52">
        <v>46113</v>
      </c>
      <c r="AI57" s="52">
        <v>46478</v>
      </c>
      <c r="AJ57" s="17" t="s">
        <v>97</v>
      </c>
      <c r="AK57" s="18" t="s">
        <v>945</v>
      </c>
      <c r="AL57" s="18"/>
      <c r="AM57" s="18"/>
      <c r="AN57" s="18"/>
    </row>
    <row r="58" spans="1:40" ht="38.25" x14ac:dyDescent="0.25">
      <c r="A58" s="12" t="s">
        <v>532</v>
      </c>
      <c r="B58" s="13" t="s">
        <v>533</v>
      </c>
      <c r="C58" s="14" t="s">
        <v>80</v>
      </c>
      <c r="D58" s="13" t="s">
        <v>534</v>
      </c>
      <c r="E58" s="13" t="s">
        <v>535</v>
      </c>
      <c r="F58" s="14" t="s">
        <v>477</v>
      </c>
      <c r="G58" s="12" t="s">
        <v>84</v>
      </c>
      <c r="H58" s="13" t="s">
        <v>85</v>
      </c>
      <c r="I58" s="13" t="s">
        <v>111</v>
      </c>
      <c r="J58" s="13" t="s">
        <v>536</v>
      </c>
      <c r="K58" s="13" t="s">
        <v>188</v>
      </c>
      <c r="L58" s="19" t="s">
        <v>112</v>
      </c>
      <c r="M58" s="12">
        <v>2</v>
      </c>
      <c r="N58" s="12"/>
      <c r="O58" s="12" t="s">
        <v>946</v>
      </c>
      <c r="P58" s="13" t="s">
        <v>537</v>
      </c>
      <c r="Q58" s="13"/>
      <c r="R58" s="12" t="s">
        <v>91</v>
      </c>
      <c r="S58" s="13"/>
      <c r="T58" s="13"/>
      <c r="U58" s="12"/>
      <c r="V58" s="13"/>
      <c r="W58" s="13"/>
      <c r="X58" s="12"/>
      <c r="Y58" s="13"/>
      <c r="Z58" s="13" t="s">
        <v>986</v>
      </c>
      <c r="AA58" s="12"/>
      <c r="AB58" s="13" t="s">
        <v>114</v>
      </c>
      <c r="AC58" s="13"/>
      <c r="AD58" s="12" t="s">
        <v>213</v>
      </c>
      <c r="AE58" s="12" t="s">
        <v>129</v>
      </c>
      <c r="AF58" s="12" t="s">
        <v>539</v>
      </c>
      <c r="AG58" s="13"/>
      <c r="AH58" s="51">
        <v>46113</v>
      </c>
      <c r="AI58" s="51">
        <v>46478</v>
      </c>
      <c r="AJ58" s="12" t="s">
        <v>97</v>
      </c>
      <c r="AK58" s="13" t="s">
        <v>945</v>
      </c>
      <c r="AL58" s="13"/>
      <c r="AM58" s="13"/>
      <c r="AN58" s="13"/>
    </row>
    <row r="59" spans="1:40" ht="38.25" x14ac:dyDescent="0.25">
      <c r="A59" s="17" t="s">
        <v>540</v>
      </c>
      <c r="B59" s="18" t="s">
        <v>541</v>
      </c>
      <c r="C59" s="14" t="s">
        <v>80</v>
      </c>
      <c r="D59" s="18" t="s">
        <v>542</v>
      </c>
      <c r="E59" s="18" t="s">
        <v>543</v>
      </c>
      <c r="F59" s="14" t="s">
        <v>477</v>
      </c>
      <c r="G59" s="17" t="s">
        <v>84</v>
      </c>
      <c r="H59" s="18" t="s">
        <v>345</v>
      </c>
      <c r="I59" s="18" t="s">
        <v>111</v>
      </c>
      <c r="J59" s="18" t="s">
        <v>478</v>
      </c>
      <c r="K59" s="18" t="s">
        <v>335</v>
      </c>
      <c r="L59" s="16" t="s">
        <v>89</v>
      </c>
      <c r="M59" s="17">
        <v>3</v>
      </c>
      <c r="N59" s="17"/>
      <c r="O59" s="17"/>
      <c r="P59" s="18" t="s">
        <v>524</v>
      </c>
      <c r="Q59" s="18"/>
      <c r="R59" s="17" t="s">
        <v>91</v>
      </c>
      <c r="S59" s="18"/>
      <c r="T59" s="18"/>
      <c r="U59" s="17"/>
      <c r="V59" s="18"/>
      <c r="W59" s="18"/>
      <c r="X59" s="17"/>
      <c r="Y59" s="18"/>
      <c r="Z59" s="18" t="s">
        <v>987</v>
      </c>
      <c r="AA59" s="17" t="s">
        <v>93</v>
      </c>
      <c r="AB59" s="18"/>
      <c r="AC59" s="18"/>
      <c r="AD59" s="17"/>
      <c r="AE59" s="17"/>
      <c r="AF59" s="17" t="s">
        <v>545</v>
      </c>
      <c r="AG59" s="18"/>
      <c r="AH59" s="52">
        <v>46113</v>
      </c>
      <c r="AI59" s="52">
        <v>46478</v>
      </c>
      <c r="AJ59" s="17" t="s">
        <v>97</v>
      </c>
      <c r="AK59" s="18" t="s">
        <v>945</v>
      </c>
      <c r="AL59" s="18"/>
      <c r="AM59" s="18"/>
      <c r="AN59" s="18"/>
    </row>
    <row r="60" spans="1:40" ht="38.25" x14ac:dyDescent="0.25">
      <c r="A60" s="12" t="s">
        <v>546</v>
      </c>
      <c r="B60" s="13" t="s">
        <v>547</v>
      </c>
      <c r="C60" s="14" t="s">
        <v>80</v>
      </c>
      <c r="D60" s="13" t="s">
        <v>548</v>
      </c>
      <c r="E60" s="13" t="s">
        <v>549</v>
      </c>
      <c r="F60" s="14" t="s">
        <v>477</v>
      </c>
      <c r="G60" s="12" t="s">
        <v>84</v>
      </c>
      <c r="H60" s="13" t="s">
        <v>85</v>
      </c>
      <c r="I60" s="13" t="s">
        <v>111</v>
      </c>
      <c r="J60" s="13" t="s">
        <v>478</v>
      </c>
      <c r="K60" s="13" t="s">
        <v>188</v>
      </c>
      <c r="L60" s="16" t="s">
        <v>89</v>
      </c>
      <c r="M60" s="12">
        <v>3</v>
      </c>
      <c r="N60" s="12"/>
      <c r="O60" s="12"/>
      <c r="P60" s="13" t="s">
        <v>524</v>
      </c>
      <c r="Q60" s="13"/>
      <c r="R60" s="12" t="s">
        <v>91</v>
      </c>
      <c r="S60" s="13"/>
      <c r="T60" s="13"/>
      <c r="U60" s="12"/>
      <c r="V60" s="13"/>
      <c r="W60" s="13"/>
      <c r="X60" s="12"/>
      <c r="Y60" s="13"/>
      <c r="Z60" s="13" t="s">
        <v>985</v>
      </c>
      <c r="AA60" s="12" t="s">
        <v>93</v>
      </c>
      <c r="AB60" s="13"/>
      <c r="AC60" s="13"/>
      <c r="AD60" s="12"/>
      <c r="AE60" s="12"/>
      <c r="AF60" s="12" t="s">
        <v>526</v>
      </c>
      <c r="AG60" s="13"/>
      <c r="AH60" s="51">
        <v>46113</v>
      </c>
      <c r="AI60" s="51">
        <v>46478</v>
      </c>
      <c r="AJ60" s="12" t="s">
        <v>97</v>
      </c>
      <c r="AK60" s="13" t="s">
        <v>945</v>
      </c>
      <c r="AL60" s="13"/>
      <c r="AM60" s="13"/>
      <c r="AN60" s="13"/>
    </row>
    <row r="61" spans="1:40" ht="51" x14ac:dyDescent="0.25">
      <c r="A61" s="17" t="s">
        <v>550</v>
      </c>
      <c r="B61" s="18" t="s">
        <v>551</v>
      </c>
      <c r="C61" s="14" t="s">
        <v>80</v>
      </c>
      <c r="D61" s="18" t="s">
        <v>552</v>
      </c>
      <c r="E61" s="18" t="s">
        <v>553</v>
      </c>
      <c r="F61" s="14" t="s">
        <v>477</v>
      </c>
      <c r="G61" s="17" t="s">
        <v>84</v>
      </c>
      <c r="H61" s="18" t="s">
        <v>85</v>
      </c>
      <c r="I61" s="18" t="s">
        <v>111</v>
      </c>
      <c r="J61" s="18" t="s">
        <v>494</v>
      </c>
      <c r="K61" s="18" t="s">
        <v>335</v>
      </c>
      <c r="L61" s="19" t="s">
        <v>112</v>
      </c>
      <c r="M61" s="17">
        <v>2</v>
      </c>
      <c r="N61" s="17"/>
      <c r="O61" s="17" t="s">
        <v>946</v>
      </c>
      <c r="P61" s="18" t="s">
        <v>524</v>
      </c>
      <c r="Q61" s="18"/>
      <c r="R61" s="17" t="s">
        <v>91</v>
      </c>
      <c r="S61" s="18"/>
      <c r="T61" s="18"/>
      <c r="U61" s="17"/>
      <c r="V61" s="18"/>
      <c r="W61" s="18"/>
      <c r="X61" s="17"/>
      <c r="Y61" s="18"/>
      <c r="Z61" s="18" t="s">
        <v>986</v>
      </c>
      <c r="AA61" s="17"/>
      <c r="AB61" s="18" t="s">
        <v>114</v>
      </c>
      <c r="AC61" s="18"/>
      <c r="AD61" s="17"/>
      <c r="AE61" s="17"/>
      <c r="AF61" s="17" t="s">
        <v>554</v>
      </c>
      <c r="AG61" s="18"/>
      <c r="AH61" s="52">
        <v>46113</v>
      </c>
      <c r="AI61" s="52">
        <v>46478</v>
      </c>
      <c r="AJ61" s="17" t="s">
        <v>97</v>
      </c>
      <c r="AK61" s="18" t="s">
        <v>945</v>
      </c>
      <c r="AL61" s="18"/>
      <c r="AM61" s="18"/>
      <c r="AN61" s="18"/>
    </row>
    <row r="62" spans="1:40" ht="38.25" x14ac:dyDescent="0.25">
      <c r="A62" s="12" t="s">
        <v>555</v>
      </c>
      <c r="B62" s="13" t="s">
        <v>556</v>
      </c>
      <c r="C62" s="14" t="s">
        <v>80</v>
      </c>
      <c r="D62" s="13" t="s">
        <v>557</v>
      </c>
      <c r="E62" s="13" t="s">
        <v>558</v>
      </c>
      <c r="F62" s="14" t="s">
        <v>477</v>
      </c>
      <c r="G62" s="12" t="s">
        <v>84</v>
      </c>
      <c r="H62" s="13" t="s">
        <v>380</v>
      </c>
      <c r="I62" s="13" t="s">
        <v>111</v>
      </c>
      <c r="J62" s="13" t="s">
        <v>494</v>
      </c>
      <c r="K62" s="13" t="s">
        <v>188</v>
      </c>
      <c r="L62" s="19" t="s">
        <v>112</v>
      </c>
      <c r="M62" s="12">
        <v>2</v>
      </c>
      <c r="N62" s="12"/>
      <c r="O62" s="12" t="s">
        <v>946</v>
      </c>
      <c r="P62" s="13" t="s">
        <v>537</v>
      </c>
      <c r="Q62" s="13"/>
      <c r="R62" s="12" t="s">
        <v>91</v>
      </c>
      <c r="S62" s="13"/>
      <c r="T62" s="13"/>
      <c r="U62" s="12"/>
      <c r="V62" s="13"/>
      <c r="W62" s="13"/>
      <c r="X62" s="12"/>
      <c r="Y62" s="13"/>
      <c r="Z62" s="13" t="s">
        <v>988</v>
      </c>
      <c r="AA62" s="12"/>
      <c r="AB62" s="13" t="s">
        <v>114</v>
      </c>
      <c r="AC62" s="13"/>
      <c r="AD62" s="12" t="s">
        <v>560</v>
      </c>
      <c r="AE62" s="12" t="s">
        <v>182</v>
      </c>
      <c r="AF62" s="12" t="s">
        <v>561</v>
      </c>
      <c r="AG62" s="13"/>
      <c r="AH62" s="51">
        <v>46113</v>
      </c>
      <c r="AI62" s="51">
        <v>46478</v>
      </c>
      <c r="AJ62" s="12" t="s">
        <v>97</v>
      </c>
      <c r="AK62" s="13" t="s">
        <v>945</v>
      </c>
      <c r="AL62" s="13"/>
      <c r="AM62" s="13"/>
      <c r="AN62" s="13"/>
    </row>
    <row r="63" spans="1:40" ht="51" x14ac:dyDescent="0.25">
      <c r="A63" s="17" t="s">
        <v>562</v>
      </c>
      <c r="B63" s="18" t="s">
        <v>563</v>
      </c>
      <c r="C63" s="14" t="s">
        <v>80</v>
      </c>
      <c r="D63" s="18" t="s">
        <v>564</v>
      </c>
      <c r="E63" s="18" t="s">
        <v>565</v>
      </c>
      <c r="F63" s="22" t="s">
        <v>566</v>
      </c>
      <c r="G63" s="17" t="s">
        <v>84</v>
      </c>
      <c r="H63" s="18" t="s">
        <v>85</v>
      </c>
      <c r="I63" s="18" t="s">
        <v>111</v>
      </c>
      <c r="J63" s="18" t="s">
        <v>176</v>
      </c>
      <c r="K63" s="18" t="s">
        <v>188</v>
      </c>
      <c r="L63" s="16" t="s">
        <v>89</v>
      </c>
      <c r="M63" s="17">
        <v>3</v>
      </c>
      <c r="N63" s="17"/>
      <c r="O63" s="17"/>
      <c r="P63" s="18" t="s">
        <v>567</v>
      </c>
      <c r="Q63" s="18"/>
      <c r="R63" s="17" t="s">
        <v>91</v>
      </c>
      <c r="S63" s="18"/>
      <c r="T63" s="18"/>
      <c r="U63" s="17"/>
      <c r="V63" s="18"/>
      <c r="W63" s="18"/>
      <c r="X63" s="17"/>
      <c r="Y63" s="18"/>
      <c r="Z63" s="18" t="s">
        <v>989</v>
      </c>
      <c r="AA63" s="17" t="s">
        <v>93</v>
      </c>
      <c r="AB63" s="18"/>
      <c r="AC63" s="18"/>
      <c r="AD63" s="17"/>
      <c r="AE63" s="17"/>
      <c r="AF63" s="17" t="s">
        <v>569</v>
      </c>
      <c r="AG63" s="18"/>
      <c r="AH63" s="52">
        <v>46113</v>
      </c>
      <c r="AI63" s="52">
        <v>46478</v>
      </c>
      <c r="AJ63" s="17" t="s">
        <v>97</v>
      </c>
      <c r="AK63" s="18" t="s">
        <v>945</v>
      </c>
      <c r="AL63" s="18"/>
      <c r="AM63" s="18"/>
      <c r="AN63" s="18"/>
    </row>
    <row r="64" spans="1:40" ht="51" x14ac:dyDescent="0.25">
      <c r="A64" s="12" t="s">
        <v>570</v>
      </c>
      <c r="B64" s="13" t="s">
        <v>571</v>
      </c>
      <c r="C64" s="14" t="s">
        <v>80</v>
      </c>
      <c r="D64" s="13" t="s">
        <v>572</v>
      </c>
      <c r="E64" s="13" t="s">
        <v>573</v>
      </c>
      <c r="F64" s="22" t="s">
        <v>566</v>
      </c>
      <c r="G64" s="12" t="s">
        <v>84</v>
      </c>
      <c r="H64" s="13" t="s">
        <v>85</v>
      </c>
      <c r="I64" s="13" t="s">
        <v>111</v>
      </c>
      <c r="J64" s="13" t="s">
        <v>219</v>
      </c>
      <c r="K64" s="13" t="s">
        <v>188</v>
      </c>
      <c r="L64" s="16" t="s">
        <v>89</v>
      </c>
      <c r="M64" s="12">
        <v>3</v>
      </c>
      <c r="N64" s="12"/>
      <c r="O64" s="12"/>
      <c r="P64" s="13" t="s">
        <v>574</v>
      </c>
      <c r="Q64" s="13"/>
      <c r="R64" s="12" t="s">
        <v>91</v>
      </c>
      <c r="S64" s="13"/>
      <c r="T64" s="13"/>
      <c r="U64" s="12"/>
      <c r="V64" s="13"/>
      <c r="W64" s="13"/>
      <c r="X64" s="12"/>
      <c r="Y64" s="13"/>
      <c r="Z64" s="13" t="s">
        <v>990</v>
      </c>
      <c r="AA64" s="12" t="s">
        <v>93</v>
      </c>
      <c r="AB64" s="13"/>
      <c r="AC64" s="13" t="s">
        <v>576</v>
      </c>
      <c r="AD64" s="12" t="s">
        <v>223</v>
      </c>
      <c r="AE64" s="12"/>
      <c r="AF64" s="12" t="s">
        <v>224</v>
      </c>
      <c r="AG64" s="13"/>
      <c r="AH64" s="51">
        <v>46113</v>
      </c>
      <c r="AI64" s="51">
        <v>46478</v>
      </c>
      <c r="AJ64" s="12" t="s">
        <v>97</v>
      </c>
      <c r="AK64" s="13" t="s">
        <v>945</v>
      </c>
      <c r="AL64" s="13"/>
      <c r="AM64" s="13"/>
      <c r="AN64" s="13"/>
    </row>
    <row r="65" spans="1:40" ht="38.25" x14ac:dyDescent="0.25">
      <c r="A65" s="17" t="s">
        <v>577</v>
      </c>
      <c r="B65" s="18" t="s">
        <v>578</v>
      </c>
      <c r="C65" s="14" t="s">
        <v>80</v>
      </c>
      <c r="D65" s="18" t="s">
        <v>579</v>
      </c>
      <c r="E65" s="18" t="s">
        <v>580</v>
      </c>
      <c r="F65" s="22" t="s">
        <v>566</v>
      </c>
      <c r="G65" s="17" t="s">
        <v>84</v>
      </c>
      <c r="H65" s="18" t="s">
        <v>85</v>
      </c>
      <c r="I65" s="18" t="s">
        <v>111</v>
      </c>
      <c r="J65" s="18" t="s">
        <v>219</v>
      </c>
      <c r="K65" s="18" t="s">
        <v>188</v>
      </c>
      <c r="L65" s="16" t="s">
        <v>89</v>
      </c>
      <c r="M65" s="17">
        <v>3</v>
      </c>
      <c r="N65" s="17"/>
      <c r="O65" s="17"/>
      <c r="P65" s="18" t="s">
        <v>574</v>
      </c>
      <c r="Q65" s="18"/>
      <c r="R65" s="17" t="s">
        <v>91</v>
      </c>
      <c r="S65" s="18"/>
      <c r="T65" s="18"/>
      <c r="U65" s="17"/>
      <c r="V65" s="18"/>
      <c r="W65" s="18"/>
      <c r="X65" s="17"/>
      <c r="Y65" s="18"/>
      <c r="Z65" s="18" t="s">
        <v>991</v>
      </c>
      <c r="AA65" s="17" t="s">
        <v>93</v>
      </c>
      <c r="AB65" s="18"/>
      <c r="AC65" s="18"/>
      <c r="AD65" s="17" t="s">
        <v>223</v>
      </c>
      <c r="AE65" s="17"/>
      <c r="AF65" s="17" t="s">
        <v>582</v>
      </c>
      <c r="AG65" s="18"/>
      <c r="AH65" s="52">
        <v>46113</v>
      </c>
      <c r="AI65" s="52">
        <v>46478</v>
      </c>
      <c r="AJ65" s="17" t="s">
        <v>97</v>
      </c>
      <c r="AK65" s="18" t="s">
        <v>945</v>
      </c>
      <c r="AL65" s="18"/>
      <c r="AM65" s="18"/>
      <c r="AN65" s="18"/>
    </row>
    <row r="66" spans="1:40" ht="51" x14ac:dyDescent="0.25">
      <c r="A66" s="12" t="s">
        <v>583</v>
      </c>
      <c r="B66" s="13" t="s">
        <v>584</v>
      </c>
      <c r="C66" s="14" t="s">
        <v>80</v>
      </c>
      <c r="D66" s="13" t="s">
        <v>585</v>
      </c>
      <c r="E66" s="13" t="s">
        <v>586</v>
      </c>
      <c r="F66" s="22" t="s">
        <v>566</v>
      </c>
      <c r="G66" s="12" t="s">
        <v>84</v>
      </c>
      <c r="H66" s="13" t="s">
        <v>85</v>
      </c>
      <c r="I66" s="13" t="s">
        <v>111</v>
      </c>
      <c r="J66" s="13" t="s">
        <v>587</v>
      </c>
      <c r="K66" s="13" t="s">
        <v>188</v>
      </c>
      <c r="L66" s="16" t="s">
        <v>89</v>
      </c>
      <c r="M66" s="12">
        <v>3</v>
      </c>
      <c r="N66" s="12"/>
      <c r="O66" s="12"/>
      <c r="P66" s="13" t="s">
        <v>588</v>
      </c>
      <c r="Q66" s="13"/>
      <c r="R66" s="12" t="s">
        <v>91</v>
      </c>
      <c r="S66" s="13"/>
      <c r="T66" s="13"/>
      <c r="U66" s="12"/>
      <c r="V66" s="13"/>
      <c r="W66" s="13"/>
      <c r="X66" s="12"/>
      <c r="Y66" s="13"/>
      <c r="Z66" s="13" t="s">
        <v>990</v>
      </c>
      <c r="AA66" s="12" t="s">
        <v>93</v>
      </c>
      <c r="AB66" s="13"/>
      <c r="AC66" s="13"/>
      <c r="AD66" s="12" t="s">
        <v>589</v>
      </c>
      <c r="AE66" s="12"/>
      <c r="AF66" s="12" t="s">
        <v>582</v>
      </c>
      <c r="AG66" s="13"/>
      <c r="AH66" s="51">
        <v>46113</v>
      </c>
      <c r="AI66" s="51">
        <v>46478</v>
      </c>
      <c r="AJ66" s="12" t="s">
        <v>97</v>
      </c>
      <c r="AK66" s="13" t="s">
        <v>945</v>
      </c>
      <c r="AL66" s="13"/>
      <c r="AM66" s="13"/>
      <c r="AN66" s="13"/>
    </row>
    <row r="67" spans="1:40" ht="51" x14ac:dyDescent="0.25">
      <c r="A67" s="17" t="s">
        <v>590</v>
      </c>
      <c r="B67" s="18" t="s">
        <v>591</v>
      </c>
      <c r="C67" s="14" t="s">
        <v>80</v>
      </c>
      <c r="D67" s="18" t="s">
        <v>592</v>
      </c>
      <c r="E67" s="18" t="s">
        <v>593</v>
      </c>
      <c r="F67" s="22" t="s">
        <v>566</v>
      </c>
      <c r="G67" s="17" t="s">
        <v>84</v>
      </c>
      <c r="H67" s="18" t="s">
        <v>85</v>
      </c>
      <c r="I67" s="18" t="s">
        <v>111</v>
      </c>
      <c r="J67" s="18" t="s">
        <v>219</v>
      </c>
      <c r="K67" s="18" t="s">
        <v>188</v>
      </c>
      <c r="L67" s="16" t="s">
        <v>89</v>
      </c>
      <c r="M67" s="17">
        <v>3</v>
      </c>
      <c r="N67" s="17"/>
      <c r="O67" s="17"/>
      <c r="P67" s="18" t="s">
        <v>574</v>
      </c>
      <c r="Q67" s="18"/>
      <c r="R67" s="17" t="s">
        <v>91</v>
      </c>
      <c r="S67" s="18"/>
      <c r="T67" s="18"/>
      <c r="U67" s="17"/>
      <c r="V67" s="18"/>
      <c r="W67" s="18"/>
      <c r="X67" s="17"/>
      <c r="Y67" s="18"/>
      <c r="Z67" s="18" t="s">
        <v>992</v>
      </c>
      <c r="AA67" s="17" t="s">
        <v>93</v>
      </c>
      <c r="AB67" s="18"/>
      <c r="AC67" s="18" t="s">
        <v>222</v>
      </c>
      <c r="AD67" s="17" t="s">
        <v>595</v>
      </c>
      <c r="AE67" s="17"/>
      <c r="AF67" s="17" t="s">
        <v>231</v>
      </c>
      <c r="AG67" s="18"/>
      <c r="AH67" s="52">
        <v>46113</v>
      </c>
      <c r="AI67" s="52">
        <v>46478</v>
      </c>
      <c r="AJ67" s="17" t="s">
        <v>97</v>
      </c>
      <c r="AK67" s="18" t="s">
        <v>945</v>
      </c>
      <c r="AL67" s="18"/>
      <c r="AM67" s="18"/>
      <c r="AN67" s="18"/>
    </row>
    <row r="68" spans="1:40" ht="38.25" x14ac:dyDescent="0.25">
      <c r="A68" s="12" t="s">
        <v>596</v>
      </c>
      <c r="B68" s="13" t="s">
        <v>597</v>
      </c>
      <c r="C68" s="14" t="s">
        <v>80</v>
      </c>
      <c r="D68" s="13" t="s">
        <v>598</v>
      </c>
      <c r="E68" s="13" t="s">
        <v>599</v>
      </c>
      <c r="F68" s="22" t="s">
        <v>566</v>
      </c>
      <c r="G68" s="12" t="s">
        <v>145</v>
      </c>
      <c r="H68" s="13" t="s">
        <v>85</v>
      </c>
      <c r="I68" s="13" t="s">
        <v>600</v>
      </c>
      <c r="J68" s="13" t="s">
        <v>334</v>
      </c>
      <c r="K68" s="13" t="s">
        <v>601</v>
      </c>
      <c r="L68" s="16" t="s">
        <v>89</v>
      </c>
      <c r="M68" s="12">
        <v>3</v>
      </c>
      <c r="N68" s="12"/>
      <c r="O68" s="12"/>
      <c r="P68" s="13" t="s">
        <v>602</v>
      </c>
      <c r="Q68" s="13"/>
      <c r="R68" s="12" t="s">
        <v>91</v>
      </c>
      <c r="S68" s="13"/>
      <c r="T68" s="13"/>
      <c r="U68" s="12"/>
      <c r="V68" s="13"/>
      <c r="W68" s="13"/>
      <c r="X68" s="12"/>
      <c r="Y68" s="13"/>
      <c r="Z68" s="13" t="s">
        <v>993</v>
      </c>
      <c r="AA68" s="12" t="s">
        <v>93</v>
      </c>
      <c r="AB68" s="13"/>
      <c r="AC68" s="13" t="s">
        <v>261</v>
      </c>
      <c r="AD68" s="12"/>
      <c r="AE68" s="12"/>
      <c r="AF68" s="12" t="s">
        <v>604</v>
      </c>
      <c r="AG68" s="13"/>
      <c r="AH68" s="51">
        <v>46113</v>
      </c>
      <c r="AI68" s="51">
        <v>46478</v>
      </c>
      <c r="AJ68" s="12" t="s">
        <v>97</v>
      </c>
      <c r="AK68" s="13" t="s">
        <v>945</v>
      </c>
      <c r="AL68" s="13"/>
      <c r="AM68" s="13"/>
      <c r="AN68" s="13"/>
    </row>
    <row r="69" spans="1:40" ht="51" x14ac:dyDescent="0.25">
      <c r="A69" s="17" t="s">
        <v>605</v>
      </c>
      <c r="B69" s="18" t="s">
        <v>606</v>
      </c>
      <c r="C69" s="14" t="s">
        <v>80</v>
      </c>
      <c r="D69" s="18" t="s">
        <v>607</v>
      </c>
      <c r="E69" s="18" t="s">
        <v>608</v>
      </c>
      <c r="F69" s="22" t="s">
        <v>566</v>
      </c>
      <c r="G69" s="17" t="s">
        <v>302</v>
      </c>
      <c r="H69" s="18" t="s">
        <v>85</v>
      </c>
      <c r="I69" s="18" t="s">
        <v>135</v>
      </c>
      <c r="J69" s="18" t="s">
        <v>609</v>
      </c>
      <c r="K69" s="18" t="s">
        <v>197</v>
      </c>
      <c r="L69" s="16" t="s">
        <v>89</v>
      </c>
      <c r="M69" s="17">
        <v>3</v>
      </c>
      <c r="N69" s="17"/>
      <c r="O69" s="17"/>
      <c r="P69" s="18" t="s">
        <v>610</v>
      </c>
      <c r="Q69" s="18"/>
      <c r="R69" s="17" t="s">
        <v>91</v>
      </c>
      <c r="S69" s="18"/>
      <c r="T69" s="18"/>
      <c r="U69" s="17"/>
      <c r="V69" s="18"/>
      <c r="W69" s="18"/>
      <c r="X69" s="17"/>
      <c r="Y69" s="18"/>
      <c r="Z69" s="18" t="s">
        <v>994</v>
      </c>
      <c r="AA69" s="17" t="s">
        <v>93</v>
      </c>
      <c r="AB69" s="18"/>
      <c r="AC69" s="18" t="s">
        <v>151</v>
      </c>
      <c r="AD69" s="17" t="s">
        <v>612</v>
      </c>
      <c r="AE69" s="17"/>
      <c r="AF69" s="17" t="s">
        <v>613</v>
      </c>
      <c r="AG69" s="18"/>
      <c r="AH69" s="52">
        <v>46113</v>
      </c>
      <c r="AI69" s="52">
        <v>46478</v>
      </c>
      <c r="AJ69" s="17" t="s">
        <v>97</v>
      </c>
      <c r="AK69" s="18" t="s">
        <v>945</v>
      </c>
      <c r="AL69" s="18"/>
      <c r="AM69" s="18"/>
      <c r="AN69" s="18"/>
    </row>
    <row r="70" spans="1:40" ht="38.25" x14ac:dyDescent="0.25">
      <c r="A70" s="12" t="s">
        <v>614</v>
      </c>
      <c r="B70" s="13" t="s">
        <v>615</v>
      </c>
      <c r="C70" s="14" t="s">
        <v>80</v>
      </c>
      <c r="D70" s="13" t="s">
        <v>616</v>
      </c>
      <c r="E70" s="13" t="s">
        <v>617</v>
      </c>
      <c r="F70" s="22" t="s">
        <v>566</v>
      </c>
      <c r="G70" s="12" t="s">
        <v>145</v>
      </c>
      <c r="H70" s="13" t="s">
        <v>85</v>
      </c>
      <c r="I70" s="13" t="s">
        <v>86</v>
      </c>
      <c r="J70" s="13" t="s">
        <v>147</v>
      </c>
      <c r="K70" s="13" t="s">
        <v>197</v>
      </c>
      <c r="L70" s="16" t="s">
        <v>89</v>
      </c>
      <c r="M70" s="12">
        <v>3</v>
      </c>
      <c r="N70" s="12"/>
      <c r="O70" s="12"/>
      <c r="P70" s="13" t="s">
        <v>618</v>
      </c>
      <c r="Q70" s="13"/>
      <c r="R70" s="12" t="s">
        <v>91</v>
      </c>
      <c r="S70" s="13"/>
      <c r="T70" s="13"/>
      <c r="U70" s="12"/>
      <c r="V70" s="13"/>
      <c r="W70" s="13"/>
      <c r="X70" s="12"/>
      <c r="Y70" s="13"/>
      <c r="Z70" s="13" t="s">
        <v>995</v>
      </c>
      <c r="AA70" s="12" t="s">
        <v>93</v>
      </c>
      <c r="AB70" s="13"/>
      <c r="AC70" s="13" t="s">
        <v>180</v>
      </c>
      <c r="AD70" s="12" t="s">
        <v>620</v>
      </c>
      <c r="AE70" s="12"/>
      <c r="AF70" s="12" t="s">
        <v>621</v>
      </c>
      <c r="AG70" s="13"/>
      <c r="AH70" s="51">
        <v>46113</v>
      </c>
      <c r="AI70" s="51">
        <v>46478</v>
      </c>
      <c r="AJ70" s="12" t="s">
        <v>97</v>
      </c>
      <c r="AK70" s="13" t="s">
        <v>945</v>
      </c>
      <c r="AL70" s="13"/>
      <c r="AM70" s="13"/>
      <c r="AN70" s="13"/>
    </row>
    <row r="71" spans="1:40" ht="38.25" x14ac:dyDescent="0.25">
      <c r="A71" s="17" t="s">
        <v>622</v>
      </c>
      <c r="B71" s="18" t="s">
        <v>623</v>
      </c>
      <c r="C71" s="14" t="s">
        <v>80</v>
      </c>
      <c r="D71" s="18" t="s">
        <v>624</v>
      </c>
      <c r="E71" s="18" t="s">
        <v>625</v>
      </c>
      <c r="F71" s="22" t="s">
        <v>566</v>
      </c>
      <c r="G71" s="17" t="s">
        <v>84</v>
      </c>
      <c r="H71" s="18" t="s">
        <v>85</v>
      </c>
      <c r="I71" s="18" t="s">
        <v>111</v>
      </c>
      <c r="J71" s="18" t="s">
        <v>626</v>
      </c>
      <c r="K71" s="18" t="s">
        <v>188</v>
      </c>
      <c r="L71" s="16" t="s">
        <v>89</v>
      </c>
      <c r="M71" s="17">
        <v>3</v>
      </c>
      <c r="N71" s="17"/>
      <c r="O71" s="17"/>
      <c r="P71" s="18" t="s">
        <v>627</v>
      </c>
      <c r="Q71" s="18"/>
      <c r="R71" s="17" t="s">
        <v>91</v>
      </c>
      <c r="S71" s="18"/>
      <c r="T71" s="18"/>
      <c r="U71" s="17"/>
      <c r="V71" s="18"/>
      <c r="W71" s="18"/>
      <c r="X71" s="17"/>
      <c r="Y71" s="18"/>
      <c r="Z71" s="18" t="s">
        <v>996</v>
      </c>
      <c r="AA71" s="17" t="s">
        <v>93</v>
      </c>
      <c r="AB71" s="18"/>
      <c r="AC71" s="18"/>
      <c r="AD71" s="17" t="s">
        <v>629</v>
      </c>
      <c r="AE71" s="17"/>
      <c r="AF71" s="17" t="s">
        <v>630</v>
      </c>
      <c r="AG71" s="18"/>
      <c r="AH71" s="52">
        <v>46113</v>
      </c>
      <c r="AI71" s="52">
        <v>46478</v>
      </c>
      <c r="AJ71" s="17" t="s">
        <v>97</v>
      </c>
      <c r="AK71" s="18" t="s">
        <v>945</v>
      </c>
      <c r="AL71" s="18"/>
      <c r="AM71" s="18"/>
      <c r="AN71" s="18"/>
    </row>
    <row r="72" spans="1:40" ht="51" x14ac:dyDescent="0.25">
      <c r="A72" s="12" t="s">
        <v>631</v>
      </c>
      <c r="B72" s="13" t="s">
        <v>632</v>
      </c>
      <c r="C72" s="14" t="s">
        <v>80</v>
      </c>
      <c r="D72" s="13" t="s">
        <v>633</v>
      </c>
      <c r="E72" s="13" t="s">
        <v>634</v>
      </c>
      <c r="F72" s="22" t="s">
        <v>566</v>
      </c>
      <c r="G72" s="12" t="s">
        <v>145</v>
      </c>
      <c r="H72" s="13" t="s">
        <v>380</v>
      </c>
      <c r="I72" s="13" t="s">
        <v>111</v>
      </c>
      <c r="J72" s="13" t="s">
        <v>371</v>
      </c>
      <c r="K72" s="13" t="s">
        <v>188</v>
      </c>
      <c r="L72" s="19" t="s">
        <v>112</v>
      </c>
      <c r="M72" s="12">
        <v>2</v>
      </c>
      <c r="N72" s="12"/>
      <c r="O72" s="12" t="s">
        <v>946</v>
      </c>
      <c r="P72" s="13" t="s">
        <v>635</v>
      </c>
      <c r="Q72" s="13"/>
      <c r="R72" s="12" t="s">
        <v>91</v>
      </c>
      <c r="S72" s="13"/>
      <c r="T72" s="13"/>
      <c r="U72" s="12"/>
      <c r="V72" s="13"/>
      <c r="W72" s="13"/>
      <c r="X72" s="12"/>
      <c r="Y72" s="13"/>
      <c r="Z72" s="13" t="s">
        <v>997</v>
      </c>
      <c r="AA72" s="12"/>
      <c r="AB72" s="13" t="s">
        <v>114</v>
      </c>
      <c r="AC72" s="13"/>
      <c r="AD72" s="12" t="s">
        <v>213</v>
      </c>
      <c r="AE72" s="12" t="s">
        <v>182</v>
      </c>
      <c r="AF72" s="12" t="s">
        <v>637</v>
      </c>
      <c r="AG72" s="13"/>
      <c r="AH72" s="51">
        <v>46113</v>
      </c>
      <c r="AI72" s="51">
        <v>46478</v>
      </c>
      <c r="AJ72" s="12" t="s">
        <v>97</v>
      </c>
      <c r="AK72" s="13" t="s">
        <v>945</v>
      </c>
      <c r="AL72" s="13"/>
      <c r="AM72" s="13"/>
      <c r="AN72" s="13"/>
    </row>
    <row r="73" spans="1:40" ht="38.25" x14ac:dyDescent="0.25">
      <c r="A73" s="17" t="s">
        <v>638</v>
      </c>
      <c r="B73" s="18" t="s">
        <v>639</v>
      </c>
      <c r="C73" s="14" t="s">
        <v>80</v>
      </c>
      <c r="D73" s="18" t="s">
        <v>640</v>
      </c>
      <c r="E73" s="18" t="s">
        <v>641</v>
      </c>
      <c r="F73" s="22" t="s">
        <v>566</v>
      </c>
      <c r="G73" s="17" t="s">
        <v>84</v>
      </c>
      <c r="H73" s="18" t="s">
        <v>380</v>
      </c>
      <c r="I73" s="18" t="s">
        <v>111</v>
      </c>
      <c r="J73" s="18" t="s">
        <v>196</v>
      </c>
      <c r="K73" s="18" t="s">
        <v>188</v>
      </c>
      <c r="L73" s="19" t="s">
        <v>112</v>
      </c>
      <c r="M73" s="17">
        <v>2</v>
      </c>
      <c r="N73" s="17"/>
      <c r="O73" s="17" t="s">
        <v>946</v>
      </c>
      <c r="P73" s="18" t="s">
        <v>635</v>
      </c>
      <c r="Q73" s="18"/>
      <c r="R73" s="17" t="s">
        <v>91</v>
      </c>
      <c r="S73" s="18"/>
      <c r="T73" s="18"/>
      <c r="U73" s="17"/>
      <c r="V73" s="18"/>
      <c r="W73" s="18"/>
      <c r="X73" s="17"/>
      <c r="Y73" s="18"/>
      <c r="Z73" s="18" t="s">
        <v>998</v>
      </c>
      <c r="AA73" s="17"/>
      <c r="AB73" s="18" t="s">
        <v>114</v>
      </c>
      <c r="AC73" s="18"/>
      <c r="AD73" s="17" t="s">
        <v>643</v>
      </c>
      <c r="AE73" s="17" t="s">
        <v>129</v>
      </c>
      <c r="AF73" s="17" t="s">
        <v>644</v>
      </c>
      <c r="AG73" s="18"/>
      <c r="AH73" s="52">
        <v>46113</v>
      </c>
      <c r="AI73" s="52">
        <v>46478</v>
      </c>
      <c r="AJ73" s="17" t="s">
        <v>97</v>
      </c>
      <c r="AK73" s="18" t="s">
        <v>945</v>
      </c>
      <c r="AL73" s="18"/>
      <c r="AM73" s="18"/>
      <c r="AN73" s="18"/>
    </row>
    <row r="74" spans="1:40" ht="38.25" x14ac:dyDescent="0.25">
      <c r="A74" s="12" t="s">
        <v>645</v>
      </c>
      <c r="B74" s="13" t="s">
        <v>646</v>
      </c>
      <c r="C74" s="14" t="s">
        <v>80</v>
      </c>
      <c r="D74" s="13" t="s">
        <v>647</v>
      </c>
      <c r="E74" s="13" t="s">
        <v>648</v>
      </c>
      <c r="F74" s="22" t="s">
        <v>566</v>
      </c>
      <c r="G74" s="12" t="s">
        <v>145</v>
      </c>
      <c r="H74" s="13" t="s">
        <v>380</v>
      </c>
      <c r="I74" s="13" t="s">
        <v>499</v>
      </c>
      <c r="J74" s="13" t="s">
        <v>196</v>
      </c>
      <c r="K74" s="13" t="s">
        <v>197</v>
      </c>
      <c r="L74" s="19" t="s">
        <v>112</v>
      </c>
      <c r="M74" s="12">
        <v>2</v>
      </c>
      <c r="N74" s="12"/>
      <c r="O74" s="12" t="s">
        <v>946</v>
      </c>
      <c r="P74" s="13" t="s">
        <v>149</v>
      </c>
      <c r="Q74" s="13"/>
      <c r="R74" s="12" t="s">
        <v>91</v>
      </c>
      <c r="S74" s="13"/>
      <c r="T74" s="13"/>
      <c r="U74" s="12"/>
      <c r="V74" s="13"/>
      <c r="W74" s="13"/>
      <c r="X74" s="12"/>
      <c r="Y74" s="13"/>
      <c r="Z74" s="13" t="s">
        <v>999</v>
      </c>
      <c r="AA74" s="12"/>
      <c r="AB74" s="13" t="s">
        <v>114</v>
      </c>
      <c r="AC74" s="13"/>
      <c r="AD74" s="12" t="s">
        <v>295</v>
      </c>
      <c r="AE74" s="12" t="s">
        <v>385</v>
      </c>
      <c r="AF74" s="12" t="s">
        <v>650</v>
      </c>
      <c r="AG74" s="13"/>
      <c r="AH74" s="51">
        <v>46113</v>
      </c>
      <c r="AI74" s="51">
        <v>46478</v>
      </c>
      <c r="AJ74" s="12" t="s">
        <v>97</v>
      </c>
      <c r="AK74" s="13" t="s">
        <v>945</v>
      </c>
      <c r="AL74" s="13"/>
      <c r="AM74" s="13"/>
      <c r="AN74" s="13"/>
    </row>
    <row r="75" spans="1:40" ht="38.25" x14ac:dyDescent="0.25">
      <c r="A75" s="17" t="s">
        <v>651</v>
      </c>
      <c r="B75" s="18" t="s">
        <v>652</v>
      </c>
      <c r="C75" s="14" t="s">
        <v>80</v>
      </c>
      <c r="D75" s="18" t="s">
        <v>653</v>
      </c>
      <c r="E75" s="18" t="s">
        <v>654</v>
      </c>
      <c r="F75" s="22" t="s">
        <v>566</v>
      </c>
      <c r="G75" s="17" t="s">
        <v>312</v>
      </c>
      <c r="H75" s="18" t="s">
        <v>655</v>
      </c>
      <c r="I75" s="18" t="s">
        <v>656</v>
      </c>
      <c r="J75" s="18" t="s">
        <v>334</v>
      </c>
      <c r="K75" s="18" t="s">
        <v>346</v>
      </c>
      <c r="L75" s="16" t="s">
        <v>89</v>
      </c>
      <c r="M75" s="17">
        <v>3</v>
      </c>
      <c r="N75" s="17"/>
      <c r="O75" s="17"/>
      <c r="P75" s="18" t="s">
        <v>657</v>
      </c>
      <c r="Q75" s="18"/>
      <c r="R75" s="17" t="s">
        <v>91</v>
      </c>
      <c r="S75" s="18"/>
      <c r="T75" s="18"/>
      <c r="U75" s="17"/>
      <c r="V75" s="18"/>
      <c r="W75" s="18"/>
      <c r="X75" s="17"/>
      <c r="Y75" s="18"/>
      <c r="Z75" s="18" t="s">
        <v>1000</v>
      </c>
      <c r="AA75" s="17" t="s">
        <v>93</v>
      </c>
      <c r="AB75" s="18"/>
      <c r="AC75" s="18" t="s">
        <v>659</v>
      </c>
      <c r="AD75" s="17" t="s">
        <v>660</v>
      </c>
      <c r="AE75" s="17"/>
      <c r="AF75" s="17" t="s">
        <v>661</v>
      </c>
      <c r="AG75" s="18"/>
      <c r="AH75" s="52">
        <v>46113</v>
      </c>
      <c r="AI75" s="52">
        <v>46478</v>
      </c>
      <c r="AJ75" s="17" t="s">
        <v>97</v>
      </c>
      <c r="AK75" s="18" t="s">
        <v>945</v>
      </c>
      <c r="AL75" s="18"/>
      <c r="AM75" s="18"/>
      <c r="AN75" s="18"/>
    </row>
    <row r="76" spans="1:40" ht="38.25" x14ac:dyDescent="0.25">
      <c r="A76" s="12" t="s">
        <v>662</v>
      </c>
      <c r="B76" s="13" t="s">
        <v>663</v>
      </c>
      <c r="C76" s="14" t="s">
        <v>80</v>
      </c>
      <c r="D76" s="13" t="s">
        <v>664</v>
      </c>
      <c r="E76" s="13" t="s">
        <v>665</v>
      </c>
      <c r="F76" s="22" t="s">
        <v>566</v>
      </c>
      <c r="G76" s="12" t="s">
        <v>84</v>
      </c>
      <c r="H76" s="13" t="s">
        <v>345</v>
      </c>
      <c r="I76" s="13" t="s">
        <v>111</v>
      </c>
      <c r="J76" s="13" t="s">
        <v>666</v>
      </c>
      <c r="K76" s="13" t="s">
        <v>346</v>
      </c>
      <c r="L76" s="16" t="s">
        <v>89</v>
      </c>
      <c r="M76" s="12">
        <v>3</v>
      </c>
      <c r="N76" s="12"/>
      <c r="O76" s="12"/>
      <c r="P76" s="13" t="s">
        <v>657</v>
      </c>
      <c r="Q76" s="13"/>
      <c r="R76" s="12" t="s">
        <v>91</v>
      </c>
      <c r="S76" s="13"/>
      <c r="T76" s="13"/>
      <c r="U76" s="12"/>
      <c r="V76" s="13"/>
      <c r="W76" s="13"/>
      <c r="X76" s="12"/>
      <c r="Y76" s="13"/>
      <c r="Z76" s="13" t="s">
        <v>964</v>
      </c>
      <c r="AA76" s="12" t="s">
        <v>93</v>
      </c>
      <c r="AB76" s="13"/>
      <c r="AC76" s="13"/>
      <c r="AD76" s="12"/>
      <c r="AE76" s="12"/>
      <c r="AF76" s="12" t="s">
        <v>545</v>
      </c>
      <c r="AG76" s="13"/>
      <c r="AH76" s="51">
        <v>46113</v>
      </c>
      <c r="AI76" s="51">
        <v>46478</v>
      </c>
      <c r="AJ76" s="12" t="s">
        <v>97</v>
      </c>
      <c r="AK76" s="13" t="s">
        <v>945</v>
      </c>
      <c r="AL76" s="13"/>
      <c r="AM76" s="13"/>
      <c r="AN76" s="13"/>
    </row>
    <row r="77" spans="1:40" ht="51" x14ac:dyDescent="0.25">
      <c r="A77" s="17" t="s">
        <v>667</v>
      </c>
      <c r="B77" s="18" t="s">
        <v>668</v>
      </c>
      <c r="C77" s="14" t="s">
        <v>80</v>
      </c>
      <c r="D77" s="18" t="s">
        <v>669</v>
      </c>
      <c r="E77" s="18" t="s">
        <v>670</v>
      </c>
      <c r="F77" s="22" t="s">
        <v>566</v>
      </c>
      <c r="G77" s="17" t="s">
        <v>671</v>
      </c>
      <c r="H77" s="18" t="s">
        <v>85</v>
      </c>
      <c r="I77" s="18" t="s">
        <v>672</v>
      </c>
      <c r="J77" s="18" t="s">
        <v>304</v>
      </c>
      <c r="K77" s="18" t="s">
        <v>136</v>
      </c>
      <c r="L77" s="16" t="s">
        <v>89</v>
      </c>
      <c r="M77" s="17">
        <v>3</v>
      </c>
      <c r="N77" s="17"/>
      <c r="O77" s="17"/>
      <c r="P77" s="18" t="s">
        <v>149</v>
      </c>
      <c r="Q77" s="18"/>
      <c r="R77" s="17" t="s">
        <v>91</v>
      </c>
      <c r="S77" s="18"/>
      <c r="T77" s="18"/>
      <c r="U77" s="17"/>
      <c r="V77" s="18"/>
      <c r="W77" s="18"/>
      <c r="X77" s="17"/>
      <c r="Y77" s="18"/>
      <c r="Z77" s="18" t="s">
        <v>1001</v>
      </c>
      <c r="AA77" s="17" t="s">
        <v>93</v>
      </c>
      <c r="AB77" s="18"/>
      <c r="AC77" s="18" t="s">
        <v>674</v>
      </c>
      <c r="AD77" s="17" t="s">
        <v>675</v>
      </c>
      <c r="AE77" s="17"/>
      <c r="AF77" s="17" t="s">
        <v>676</v>
      </c>
      <c r="AG77" s="18"/>
      <c r="AH77" s="52">
        <v>46113</v>
      </c>
      <c r="AI77" s="52">
        <v>46478</v>
      </c>
      <c r="AJ77" s="17" t="s">
        <v>97</v>
      </c>
      <c r="AK77" s="18" t="s">
        <v>945</v>
      </c>
      <c r="AL77" s="18"/>
      <c r="AM77" s="18"/>
      <c r="AN77" s="18"/>
    </row>
    <row r="78" spans="1:40" ht="38.25" x14ac:dyDescent="0.25">
      <c r="A78" s="12" t="s">
        <v>677</v>
      </c>
      <c r="B78" s="13" t="s">
        <v>678</v>
      </c>
      <c r="C78" s="14" t="s">
        <v>80</v>
      </c>
      <c r="D78" s="13" t="s">
        <v>679</v>
      </c>
      <c r="E78" s="13" t="s">
        <v>680</v>
      </c>
      <c r="F78" s="22" t="s">
        <v>566</v>
      </c>
      <c r="G78" s="12" t="s">
        <v>302</v>
      </c>
      <c r="H78" s="13" t="s">
        <v>85</v>
      </c>
      <c r="I78" s="13" t="s">
        <v>303</v>
      </c>
      <c r="J78" s="13" t="s">
        <v>304</v>
      </c>
      <c r="K78" s="13" t="s">
        <v>136</v>
      </c>
      <c r="L78" s="16" t="s">
        <v>89</v>
      </c>
      <c r="M78" s="12">
        <v>3</v>
      </c>
      <c r="N78" s="12"/>
      <c r="O78" s="12"/>
      <c r="P78" s="13" t="s">
        <v>149</v>
      </c>
      <c r="Q78" s="13"/>
      <c r="R78" s="12" t="s">
        <v>91</v>
      </c>
      <c r="S78" s="13"/>
      <c r="T78" s="13"/>
      <c r="U78" s="12"/>
      <c r="V78" s="13"/>
      <c r="W78" s="13"/>
      <c r="X78" s="12"/>
      <c r="Y78" s="13"/>
      <c r="Z78" s="13" t="s">
        <v>1002</v>
      </c>
      <c r="AA78" s="12" t="s">
        <v>93</v>
      </c>
      <c r="AB78" s="13"/>
      <c r="AC78" s="13" t="s">
        <v>306</v>
      </c>
      <c r="AD78" s="12" t="s">
        <v>682</v>
      </c>
      <c r="AE78" s="12"/>
      <c r="AF78" s="12" t="s">
        <v>683</v>
      </c>
      <c r="AG78" s="13"/>
      <c r="AH78" s="51">
        <v>46113</v>
      </c>
      <c r="AI78" s="51">
        <v>46478</v>
      </c>
      <c r="AJ78" s="12" t="s">
        <v>97</v>
      </c>
      <c r="AK78" s="13" t="s">
        <v>945</v>
      </c>
      <c r="AL78" s="13"/>
      <c r="AM78" s="13"/>
      <c r="AN78" s="13"/>
    </row>
    <row r="79" spans="1:40" ht="38.25" x14ac:dyDescent="0.25">
      <c r="A79" s="17" t="s">
        <v>684</v>
      </c>
      <c r="B79" s="18" t="s">
        <v>685</v>
      </c>
      <c r="C79" s="14" t="s">
        <v>80</v>
      </c>
      <c r="D79" s="18" t="s">
        <v>686</v>
      </c>
      <c r="E79" s="18" t="s">
        <v>687</v>
      </c>
      <c r="F79" s="22" t="s">
        <v>566</v>
      </c>
      <c r="G79" s="17" t="s">
        <v>145</v>
      </c>
      <c r="H79" s="18" t="s">
        <v>688</v>
      </c>
      <c r="I79" s="18" t="s">
        <v>499</v>
      </c>
      <c r="J79" s="18" t="s">
        <v>304</v>
      </c>
      <c r="K79" s="18" t="s">
        <v>197</v>
      </c>
      <c r="L79" s="16" t="s">
        <v>89</v>
      </c>
      <c r="M79" s="17">
        <v>3</v>
      </c>
      <c r="N79" s="17"/>
      <c r="O79" s="17"/>
      <c r="P79" s="18" t="s">
        <v>524</v>
      </c>
      <c r="Q79" s="18"/>
      <c r="R79" s="17" t="s">
        <v>91</v>
      </c>
      <c r="S79" s="18"/>
      <c r="T79" s="18"/>
      <c r="U79" s="17"/>
      <c r="V79" s="18"/>
      <c r="W79" s="18"/>
      <c r="X79" s="17"/>
      <c r="Y79" s="18"/>
      <c r="Z79" s="18" t="s">
        <v>1001</v>
      </c>
      <c r="AA79" s="17" t="s">
        <v>93</v>
      </c>
      <c r="AB79" s="18"/>
      <c r="AC79" s="18"/>
      <c r="AD79" s="17" t="s">
        <v>689</v>
      </c>
      <c r="AE79" s="17"/>
      <c r="AF79" s="17" t="s">
        <v>690</v>
      </c>
      <c r="AG79" s="18"/>
      <c r="AH79" s="52">
        <v>46113</v>
      </c>
      <c r="AI79" s="52">
        <v>46478</v>
      </c>
      <c r="AJ79" s="17" t="s">
        <v>97</v>
      </c>
      <c r="AK79" s="18" t="s">
        <v>945</v>
      </c>
      <c r="AL79" s="18"/>
      <c r="AM79" s="18"/>
      <c r="AN79" s="18"/>
    </row>
    <row r="80" spans="1:40" ht="51" x14ac:dyDescent="0.25">
      <c r="A80" s="12" t="s">
        <v>691</v>
      </c>
      <c r="B80" s="13" t="s">
        <v>692</v>
      </c>
      <c r="C80" s="14" t="s">
        <v>80</v>
      </c>
      <c r="D80" s="13" t="s">
        <v>693</v>
      </c>
      <c r="E80" s="13" t="s">
        <v>694</v>
      </c>
      <c r="F80" s="22" t="s">
        <v>566</v>
      </c>
      <c r="G80" s="12" t="s">
        <v>84</v>
      </c>
      <c r="H80" s="13" t="s">
        <v>85</v>
      </c>
      <c r="I80" s="13" t="s">
        <v>111</v>
      </c>
      <c r="J80" s="13" t="s">
        <v>695</v>
      </c>
      <c r="K80" s="13" t="s">
        <v>188</v>
      </c>
      <c r="L80" s="16" t="s">
        <v>89</v>
      </c>
      <c r="M80" s="12">
        <v>3</v>
      </c>
      <c r="N80" s="12"/>
      <c r="O80" s="12"/>
      <c r="P80" s="13" t="s">
        <v>220</v>
      </c>
      <c r="Q80" s="13"/>
      <c r="R80" s="12" t="s">
        <v>91</v>
      </c>
      <c r="S80" s="13"/>
      <c r="T80" s="13"/>
      <c r="U80" s="12"/>
      <c r="V80" s="13"/>
      <c r="W80" s="13"/>
      <c r="X80" s="12"/>
      <c r="Y80" s="13"/>
      <c r="Z80" s="13" t="s">
        <v>1003</v>
      </c>
      <c r="AA80" s="12" t="s">
        <v>93</v>
      </c>
      <c r="AB80" s="13"/>
      <c r="AC80" s="13"/>
      <c r="AD80" s="12"/>
      <c r="AE80" s="12"/>
      <c r="AF80" s="12" t="s">
        <v>697</v>
      </c>
      <c r="AG80" s="13"/>
      <c r="AH80" s="51">
        <v>46113</v>
      </c>
      <c r="AI80" s="51">
        <v>46478</v>
      </c>
      <c r="AJ80" s="12" t="s">
        <v>97</v>
      </c>
      <c r="AK80" s="13" t="s">
        <v>945</v>
      </c>
      <c r="AL80" s="13"/>
      <c r="AM80" s="13"/>
      <c r="AN80" s="13"/>
    </row>
    <row r="81" spans="1:40" ht="51" x14ac:dyDescent="0.25">
      <c r="A81" s="17" t="s">
        <v>698</v>
      </c>
      <c r="B81" s="18" t="s">
        <v>699</v>
      </c>
      <c r="C81" s="14" t="s">
        <v>80</v>
      </c>
      <c r="D81" s="18" t="s">
        <v>700</v>
      </c>
      <c r="E81" s="18" t="s">
        <v>701</v>
      </c>
      <c r="F81" s="22" t="s">
        <v>566</v>
      </c>
      <c r="G81" s="17" t="s">
        <v>84</v>
      </c>
      <c r="H81" s="18" t="s">
        <v>85</v>
      </c>
      <c r="I81" s="18" t="s">
        <v>111</v>
      </c>
      <c r="J81" s="18" t="s">
        <v>702</v>
      </c>
      <c r="K81" s="18" t="s">
        <v>188</v>
      </c>
      <c r="L81" s="16" t="s">
        <v>89</v>
      </c>
      <c r="M81" s="17">
        <v>3</v>
      </c>
      <c r="N81" s="17"/>
      <c r="O81" s="17"/>
      <c r="P81" s="18" t="s">
        <v>703</v>
      </c>
      <c r="Q81" s="18"/>
      <c r="R81" s="17" t="s">
        <v>91</v>
      </c>
      <c r="S81" s="18"/>
      <c r="T81" s="18"/>
      <c r="U81" s="17"/>
      <c r="V81" s="18"/>
      <c r="W81" s="18"/>
      <c r="X81" s="17"/>
      <c r="Y81" s="18"/>
      <c r="Z81" s="18" t="s">
        <v>1004</v>
      </c>
      <c r="AA81" s="17" t="s">
        <v>93</v>
      </c>
      <c r="AB81" s="18"/>
      <c r="AC81" s="18"/>
      <c r="AD81" s="17"/>
      <c r="AE81" s="17"/>
      <c r="AF81" s="17" t="s">
        <v>705</v>
      </c>
      <c r="AG81" s="18"/>
      <c r="AH81" s="52">
        <v>46113</v>
      </c>
      <c r="AI81" s="52">
        <v>46478</v>
      </c>
      <c r="AJ81" s="17" t="s">
        <v>97</v>
      </c>
      <c r="AK81" s="18" t="s">
        <v>945</v>
      </c>
      <c r="AL81" s="18"/>
      <c r="AM81" s="18"/>
      <c r="AN81" s="18"/>
    </row>
    <row r="82" spans="1:40" ht="38.25" x14ac:dyDescent="0.25">
      <c r="A82" s="12" t="s">
        <v>706</v>
      </c>
      <c r="B82" s="13" t="s">
        <v>707</v>
      </c>
      <c r="C82" s="14" t="s">
        <v>80</v>
      </c>
      <c r="D82" s="13" t="s">
        <v>708</v>
      </c>
      <c r="E82" s="13" t="s">
        <v>709</v>
      </c>
      <c r="F82" s="22" t="s">
        <v>566</v>
      </c>
      <c r="G82" s="12" t="s">
        <v>84</v>
      </c>
      <c r="H82" s="13" t="s">
        <v>85</v>
      </c>
      <c r="I82" s="13" t="s">
        <v>111</v>
      </c>
      <c r="J82" s="13" t="s">
        <v>710</v>
      </c>
      <c r="K82" s="13" t="s">
        <v>188</v>
      </c>
      <c r="L82" s="16" t="s">
        <v>89</v>
      </c>
      <c r="M82" s="12">
        <v>3</v>
      </c>
      <c r="N82" s="12"/>
      <c r="O82" s="12"/>
      <c r="P82" s="13" t="s">
        <v>711</v>
      </c>
      <c r="Q82" s="13"/>
      <c r="R82" s="12" t="s">
        <v>91</v>
      </c>
      <c r="S82" s="13"/>
      <c r="T82" s="13"/>
      <c r="U82" s="12"/>
      <c r="V82" s="13"/>
      <c r="W82" s="13"/>
      <c r="X82" s="12"/>
      <c r="Y82" s="13"/>
      <c r="Z82" s="13" t="s">
        <v>1005</v>
      </c>
      <c r="AA82" s="12" t="s">
        <v>93</v>
      </c>
      <c r="AB82" s="13"/>
      <c r="AC82" s="13" t="s">
        <v>713</v>
      </c>
      <c r="AD82" s="12" t="s">
        <v>714</v>
      </c>
      <c r="AE82" s="12"/>
      <c r="AF82" s="12" t="s">
        <v>715</v>
      </c>
      <c r="AG82" s="13"/>
      <c r="AH82" s="51">
        <v>46113</v>
      </c>
      <c r="AI82" s="51">
        <v>46478</v>
      </c>
      <c r="AJ82" s="12" t="s">
        <v>97</v>
      </c>
      <c r="AK82" s="13" t="s">
        <v>945</v>
      </c>
      <c r="AL82" s="13"/>
      <c r="AM82" s="13"/>
      <c r="AN82" s="13"/>
    </row>
    <row r="83" spans="1:40" ht="51" x14ac:dyDescent="0.25">
      <c r="A83" s="17" t="s">
        <v>716</v>
      </c>
      <c r="B83" s="18" t="s">
        <v>717</v>
      </c>
      <c r="C83" s="14" t="s">
        <v>80</v>
      </c>
      <c r="D83" s="18" t="s">
        <v>718</v>
      </c>
      <c r="E83" s="18" t="s">
        <v>719</v>
      </c>
      <c r="F83" s="22" t="s">
        <v>566</v>
      </c>
      <c r="G83" s="17" t="s">
        <v>84</v>
      </c>
      <c r="H83" s="18" t="s">
        <v>85</v>
      </c>
      <c r="I83" s="18" t="s">
        <v>111</v>
      </c>
      <c r="J83" s="18" t="s">
        <v>710</v>
      </c>
      <c r="K83" s="18" t="s">
        <v>188</v>
      </c>
      <c r="L83" s="16" t="s">
        <v>89</v>
      </c>
      <c r="M83" s="17">
        <v>3</v>
      </c>
      <c r="N83" s="17"/>
      <c r="O83" s="17"/>
      <c r="P83" s="18" t="s">
        <v>711</v>
      </c>
      <c r="Q83" s="18"/>
      <c r="R83" s="17" t="s">
        <v>91</v>
      </c>
      <c r="S83" s="18"/>
      <c r="T83" s="18"/>
      <c r="U83" s="17"/>
      <c r="V83" s="18"/>
      <c r="W83" s="18"/>
      <c r="X83" s="17"/>
      <c r="Y83" s="18"/>
      <c r="Z83" s="18" t="s">
        <v>1006</v>
      </c>
      <c r="AA83" s="17" t="s">
        <v>93</v>
      </c>
      <c r="AB83" s="18"/>
      <c r="AC83" s="18" t="s">
        <v>713</v>
      </c>
      <c r="AD83" s="17" t="s">
        <v>714</v>
      </c>
      <c r="AE83" s="17"/>
      <c r="AF83" s="17" t="s">
        <v>715</v>
      </c>
      <c r="AG83" s="18"/>
      <c r="AH83" s="52">
        <v>46113</v>
      </c>
      <c r="AI83" s="52">
        <v>46478</v>
      </c>
      <c r="AJ83" s="17" t="s">
        <v>97</v>
      </c>
      <c r="AK83" s="18" t="s">
        <v>945</v>
      </c>
      <c r="AL83" s="18"/>
      <c r="AM83" s="18"/>
      <c r="AN83" s="18"/>
    </row>
    <row r="84" spans="1:40" ht="51" x14ac:dyDescent="0.25">
      <c r="A84" s="12" t="s">
        <v>721</v>
      </c>
      <c r="B84" s="13" t="s">
        <v>722</v>
      </c>
      <c r="C84" s="14" t="s">
        <v>80</v>
      </c>
      <c r="D84" s="13" t="s">
        <v>723</v>
      </c>
      <c r="E84" s="13" t="s">
        <v>724</v>
      </c>
      <c r="F84" s="22" t="s">
        <v>566</v>
      </c>
      <c r="G84" s="12" t="s">
        <v>84</v>
      </c>
      <c r="H84" s="13" t="s">
        <v>85</v>
      </c>
      <c r="I84" s="13" t="s">
        <v>111</v>
      </c>
      <c r="J84" s="13" t="s">
        <v>710</v>
      </c>
      <c r="K84" s="13" t="s">
        <v>188</v>
      </c>
      <c r="L84" s="16" t="s">
        <v>89</v>
      </c>
      <c r="M84" s="12">
        <v>3</v>
      </c>
      <c r="N84" s="12"/>
      <c r="O84" s="12"/>
      <c r="P84" s="13" t="s">
        <v>711</v>
      </c>
      <c r="Q84" s="13"/>
      <c r="R84" s="12" t="s">
        <v>91</v>
      </c>
      <c r="S84" s="13"/>
      <c r="T84" s="13"/>
      <c r="U84" s="12"/>
      <c r="V84" s="13"/>
      <c r="W84" s="13"/>
      <c r="X84" s="12"/>
      <c r="Y84" s="13"/>
      <c r="Z84" s="13" t="s">
        <v>1007</v>
      </c>
      <c r="AA84" s="12" t="s">
        <v>93</v>
      </c>
      <c r="AB84" s="13"/>
      <c r="AC84" s="13" t="s">
        <v>713</v>
      </c>
      <c r="AD84" s="12" t="s">
        <v>726</v>
      </c>
      <c r="AE84" s="12"/>
      <c r="AF84" s="12" t="s">
        <v>727</v>
      </c>
      <c r="AG84" s="13"/>
      <c r="AH84" s="51">
        <v>46113</v>
      </c>
      <c r="AI84" s="51">
        <v>46478</v>
      </c>
      <c r="AJ84" s="12" t="s">
        <v>97</v>
      </c>
      <c r="AK84" s="13" t="s">
        <v>945</v>
      </c>
      <c r="AL84" s="13"/>
      <c r="AM84" s="13"/>
      <c r="AN84" s="13"/>
    </row>
    <row r="85" spans="1:40" ht="38.25" x14ac:dyDescent="0.25">
      <c r="A85" s="17" t="s">
        <v>728</v>
      </c>
      <c r="B85" s="18" t="s">
        <v>729</v>
      </c>
      <c r="C85" s="14" t="s">
        <v>80</v>
      </c>
      <c r="D85" s="18" t="s">
        <v>730</v>
      </c>
      <c r="E85" s="18" t="s">
        <v>731</v>
      </c>
      <c r="F85" s="22" t="s">
        <v>566</v>
      </c>
      <c r="G85" s="17" t="s">
        <v>84</v>
      </c>
      <c r="H85" s="18" t="s">
        <v>85</v>
      </c>
      <c r="I85" s="18" t="s">
        <v>111</v>
      </c>
      <c r="J85" s="18" t="s">
        <v>609</v>
      </c>
      <c r="K85" s="18" t="s">
        <v>188</v>
      </c>
      <c r="L85" s="16" t="s">
        <v>89</v>
      </c>
      <c r="M85" s="17">
        <v>3</v>
      </c>
      <c r="N85" s="17"/>
      <c r="O85" s="17"/>
      <c r="P85" s="18" t="s">
        <v>732</v>
      </c>
      <c r="Q85" s="18"/>
      <c r="R85" s="17" t="s">
        <v>91</v>
      </c>
      <c r="S85" s="18"/>
      <c r="T85" s="18"/>
      <c r="U85" s="17"/>
      <c r="V85" s="18"/>
      <c r="W85" s="18"/>
      <c r="X85" s="17"/>
      <c r="Y85" s="18"/>
      <c r="Z85" s="18" t="s">
        <v>1008</v>
      </c>
      <c r="AA85" s="17" t="s">
        <v>93</v>
      </c>
      <c r="AB85" s="18"/>
      <c r="AC85" s="18" t="s">
        <v>713</v>
      </c>
      <c r="AD85" s="17" t="s">
        <v>734</v>
      </c>
      <c r="AE85" s="17"/>
      <c r="AF85" s="17" t="s">
        <v>735</v>
      </c>
      <c r="AG85" s="18"/>
      <c r="AH85" s="52">
        <v>46113</v>
      </c>
      <c r="AI85" s="52">
        <v>46478</v>
      </c>
      <c r="AJ85" s="17" t="s">
        <v>97</v>
      </c>
      <c r="AK85" s="18" t="s">
        <v>945</v>
      </c>
      <c r="AL85" s="18"/>
      <c r="AM85" s="18"/>
      <c r="AN85" s="18"/>
    </row>
    <row r="86" spans="1:40" ht="51" x14ac:dyDescent="0.25">
      <c r="A86" s="12" t="s">
        <v>736</v>
      </c>
      <c r="B86" s="13" t="s">
        <v>737</v>
      </c>
      <c r="C86" s="14" t="s">
        <v>80</v>
      </c>
      <c r="D86" s="13" t="s">
        <v>738</v>
      </c>
      <c r="E86" s="13" t="s">
        <v>739</v>
      </c>
      <c r="F86" s="22" t="s">
        <v>566</v>
      </c>
      <c r="G86" s="12" t="s">
        <v>84</v>
      </c>
      <c r="H86" s="13" t="s">
        <v>740</v>
      </c>
      <c r="I86" s="13" t="s">
        <v>111</v>
      </c>
      <c r="J86" s="13" t="s">
        <v>741</v>
      </c>
      <c r="K86" s="13" t="s">
        <v>188</v>
      </c>
      <c r="L86" s="19" t="s">
        <v>112</v>
      </c>
      <c r="M86" s="12">
        <v>2</v>
      </c>
      <c r="N86" s="12"/>
      <c r="O86" s="12" t="s">
        <v>946</v>
      </c>
      <c r="P86" s="13" t="s">
        <v>149</v>
      </c>
      <c r="Q86" s="13"/>
      <c r="R86" s="12" t="s">
        <v>91</v>
      </c>
      <c r="S86" s="13"/>
      <c r="T86" s="13"/>
      <c r="U86" s="12"/>
      <c r="V86" s="13"/>
      <c r="W86" s="13"/>
      <c r="X86" s="12"/>
      <c r="Y86" s="13"/>
      <c r="Z86" s="13" t="s">
        <v>1009</v>
      </c>
      <c r="AA86" s="12"/>
      <c r="AB86" s="13" t="s">
        <v>114</v>
      </c>
      <c r="AC86" s="13" t="s">
        <v>674</v>
      </c>
      <c r="AD86" s="12" t="s">
        <v>743</v>
      </c>
      <c r="AE86" s="12" t="s">
        <v>129</v>
      </c>
      <c r="AF86" s="12" t="s">
        <v>744</v>
      </c>
      <c r="AG86" s="13"/>
      <c r="AH86" s="51">
        <v>46113</v>
      </c>
      <c r="AI86" s="51">
        <v>46478</v>
      </c>
      <c r="AJ86" s="12" t="s">
        <v>97</v>
      </c>
      <c r="AK86" s="13" t="s">
        <v>945</v>
      </c>
      <c r="AL86" s="13"/>
      <c r="AM86" s="13"/>
      <c r="AN86" s="13"/>
    </row>
    <row r="87" spans="1:40" ht="51" x14ac:dyDescent="0.25">
      <c r="A87" s="17" t="s">
        <v>745</v>
      </c>
      <c r="B87" s="18" t="s">
        <v>746</v>
      </c>
      <c r="C87" s="14" t="s">
        <v>80</v>
      </c>
      <c r="D87" s="18" t="s">
        <v>747</v>
      </c>
      <c r="E87" s="18" t="s">
        <v>748</v>
      </c>
      <c r="F87" s="22" t="s">
        <v>566</v>
      </c>
      <c r="G87" s="17" t="s">
        <v>84</v>
      </c>
      <c r="H87" s="18" t="s">
        <v>85</v>
      </c>
      <c r="I87" s="18" t="s">
        <v>111</v>
      </c>
      <c r="J87" s="18" t="s">
        <v>749</v>
      </c>
      <c r="K87" s="18" t="s">
        <v>188</v>
      </c>
      <c r="L87" s="16" t="s">
        <v>89</v>
      </c>
      <c r="M87" s="17">
        <v>3</v>
      </c>
      <c r="N87" s="17"/>
      <c r="O87" s="17"/>
      <c r="P87" s="18" t="s">
        <v>588</v>
      </c>
      <c r="Q87" s="18"/>
      <c r="R87" s="17" t="s">
        <v>91</v>
      </c>
      <c r="S87" s="18"/>
      <c r="T87" s="18"/>
      <c r="U87" s="17"/>
      <c r="V87" s="18"/>
      <c r="W87" s="18"/>
      <c r="X87" s="17"/>
      <c r="Y87" s="18"/>
      <c r="Z87" s="18" t="s">
        <v>1010</v>
      </c>
      <c r="AA87" s="17" t="s">
        <v>93</v>
      </c>
      <c r="AB87" s="18"/>
      <c r="AC87" s="18" t="s">
        <v>180</v>
      </c>
      <c r="AD87" s="17" t="s">
        <v>751</v>
      </c>
      <c r="AE87" s="17"/>
      <c r="AF87" s="17" t="s">
        <v>752</v>
      </c>
      <c r="AG87" s="18"/>
      <c r="AH87" s="52">
        <v>46113</v>
      </c>
      <c r="AI87" s="52">
        <v>46478</v>
      </c>
      <c r="AJ87" s="17" t="s">
        <v>97</v>
      </c>
      <c r="AK87" s="18" t="s">
        <v>945</v>
      </c>
      <c r="AL87" s="18"/>
      <c r="AM87" s="18"/>
      <c r="AN87" s="18"/>
    </row>
    <row r="88" spans="1:40" ht="51" x14ac:dyDescent="0.25">
      <c r="A88" s="12" t="s">
        <v>753</v>
      </c>
      <c r="B88" s="13" t="s">
        <v>754</v>
      </c>
      <c r="C88" s="14" t="s">
        <v>80</v>
      </c>
      <c r="D88" s="13" t="s">
        <v>755</v>
      </c>
      <c r="E88" s="13" t="s">
        <v>756</v>
      </c>
      <c r="F88" s="22" t="s">
        <v>566</v>
      </c>
      <c r="G88" s="12" t="s">
        <v>84</v>
      </c>
      <c r="H88" s="13" t="s">
        <v>85</v>
      </c>
      <c r="I88" s="13" t="s">
        <v>111</v>
      </c>
      <c r="J88" s="13" t="s">
        <v>749</v>
      </c>
      <c r="K88" s="13" t="s">
        <v>188</v>
      </c>
      <c r="L88" s="16" t="s">
        <v>89</v>
      </c>
      <c r="M88" s="12">
        <v>3</v>
      </c>
      <c r="N88" s="12"/>
      <c r="O88" s="12"/>
      <c r="P88" s="13" t="s">
        <v>757</v>
      </c>
      <c r="Q88" s="13"/>
      <c r="R88" s="12" t="s">
        <v>91</v>
      </c>
      <c r="S88" s="13"/>
      <c r="T88" s="13"/>
      <c r="U88" s="12"/>
      <c r="V88" s="13"/>
      <c r="W88" s="13"/>
      <c r="X88" s="12"/>
      <c r="Y88" s="13"/>
      <c r="Z88" s="13" t="s">
        <v>1011</v>
      </c>
      <c r="AA88" s="12" t="s">
        <v>93</v>
      </c>
      <c r="AB88" s="13"/>
      <c r="AC88" s="13" t="s">
        <v>180</v>
      </c>
      <c r="AD88" s="12" t="s">
        <v>759</v>
      </c>
      <c r="AE88" s="12"/>
      <c r="AF88" s="12" t="s">
        <v>760</v>
      </c>
      <c r="AG88" s="13"/>
      <c r="AH88" s="51">
        <v>46113</v>
      </c>
      <c r="AI88" s="51">
        <v>46478</v>
      </c>
      <c r="AJ88" s="12" t="s">
        <v>97</v>
      </c>
      <c r="AK88" s="13" t="s">
        <v>945</v>
      </c>
      <c r="AL88" s="13"/>
      <c r="AM88" s="13"/>
      <c r="AN88" s="13"/>
    </row>
    <row r="89" spans="1:40" ht="51" x14ac:dyDescent="0.25">
      <c r="A89" s="17" t="s">
        <v>761</v>
      </c>
      <c r="B89" s="18" t="s">
        <v>762</v>
      </c>
      <c r="C89" s="14" t="s">
        <v>80</v>
      </c>
      <c r="D89" s="18" t="s">
        <v>763</v>
      </c>
      <c r="E89" s="18" t="s">
        <v>764</v>
      </c>
      <c r="F89" s="22" t="s">
        <v>566</v>
      </c>
      <c r="G89" s="17" t="s">
        <v>84</v>
      </c>
      <c r="H89" s="18" t="s">
        <v>85</v>
      </c>
      <c r="I89" s="18" t="s">
        <v>111</v>
      </c>
      <c r="J89" s="18" t="s">
        <v>765</v>
      </c>
      <c r="K89" s="18" t="s">
        <v>188</v>
      </c>
      <c r="L89" s="16" t="s">
        <v>89</v>
      </c>
      <c r="M89" s="17">
        <v>3</v>
      </c>
      <c r="N89" s="17"/>
      <c r="O89" s="17"/>
      <c r="P89" s="18" t="s">
        <v>766</v>
      </c>
      <c r="Q89" s="18"/>
      <c r="R89" s="17" t="s">
        <v>91</v>
      </c>
      <c r="S89" s="18"/>
      <c r="T89" s="18"/>
      <c r="U89" s="17"/>
      <c r="V89" s="18"/>
      <c r="W89" s="18"/>
      <c r="X89" s="17"/>
      <c r="Y89" s="18"/>
      <c r="Z89" s="18" t="s">
        <v>1012</v>
      </c>
      <c r="AA89" s="17" t="s">
        <v>93</v>
      </c>
      <c r="AB89" s="18"/>
      <c r="AC89" s="18" t="s">
        <v>180</v>
      </c>
      <c r="AD89" s="17"/>
      <c r="AE89" s="17"/>
      <c r="AF89" s="17" t="s">
        <v>768</v>
      </c>
      <c r="AG89" s="18"/>
      <c r="AH89" s="52">
        <v>46113</v>
      </c>
      <c r="AI89" s="52">
        <v>46478</v>
      </c>
      <c r="AJ89" s="17" t="s">
        <v>97</v>
      </c>
      <c r="AK89" s="18" t="s">
        <v>945</v>
      </c>
      <c r="AL89" s="18"/>
      <c r="AM89" s="18"/>
      <c r="AN89" s="18"/>
    </row>
    <row r="90" spans="1:40" ht="51" x14ac:dyDescent="0.25">
      <c r="A90" s="12" t="s">
        <v>769</v>
      </c>
      <c r="B90" s="13" t="s">
        <v>770</v>
      </c>
      <c r="C90" s="14" t="s">
        <v>80</v>
      </c>
      <c r="D90" s="13" t="s">
        <v>771</v>
      </c>
      <c r="E90" s="13" t="s">
        <v>772</v>
      </c>
      <c r="F90" s="22" t="s">
        <v>566</v>
      </c>
      <c r="G90" s="12" t="s">
        <v>84</v>
      </c>
      <c r="H90" s="13" t="s">
        <v>85</v>
      </c>
      <c r="I90" s="13" t="s">
        <v>111</v>
      </c>
      <c r="J90" s="13" t="s">
        <v>749</v>
      </c>
      <c r="K90" s="13" t="s">
        <v>188</v>
      </c>
      <c r="L90" s="16" t="s">
        <v>89</v>
      </c>
      <c r="M90" s="12">
        <v>3</v>
      </c>
      <c r="N90" s="12"/>
      <c r="O90" s="12"/>
      <c r="P90" s="13" t="s">
        <v>773</v>
      </c>
      <c r="Q90" s="13"/>
      <c r="R90" s="12" t="s">
        <v>91</v>
      </c>
      <c r="S90" s="13"/>
      <c r="T90" s="13"/>
      <c r="U90" s="12"/>
      <c r="V90" s="13"/>
      <c r="W90" s="13"/>
      <c r="X90" s="12"/>
      <c r="Y90" s="13"/>
      <c r="Z90" s="13" t="s">
        <v>1013</v>
      </c>
      <c r="AA90" s="12" t="s">
        <v>93</v>
      </c>
      <c r="AB90" s="13"/>
      <c r="AC90" s="13" t="s">
        <v>180</v>
      </c>
      <c r="AD90" s="12" t="s">
        <v>775</v>
      </c>
      <c r="AE90" s="12"/>
      <c r="AF90" s="12" t="s">
        <v>776</v>
      </c>
      <c r="AG90" s="13"/>
      <c r="AH90" s="51">
        <v>46113</v>
      </c>
      <c r="AI90" s="51">
        <v>46478</v>
      </c>
      <c r="AJ90" s="12" t="s">
        <v>97</v>
      </c>
      <c r="AK90" s="13" t="s">
        <v>945</v>
      </c>
      <c r="AL90" s="13"/>
      <c r="AM90" s="13"/>
      <c r="AN90" s="13"/>
    </row>
    <row r="91" spans="1:40" ht="51" x14ac:dyDescent="0.25">
      <c r="A91" s="17" t="s">
        <v>777</v>
      </c>
      <c r="B91" s="18" t="s">
        <v>778</v>
      </c>
      <c r="C91" s="14" t="s">
        <v>80</v>
      </c>
      <c r="D91" s="18" t="s">
        <v>779</v>
      </c>
      <c r="E91" s="18" t="s">
        <v>780</v>
      </c>
      <c r="F91" s="22" t="s">
        <v>566</v>
      </c>
      <c r="G91" s="17" t="s">
        <v>84</v>
      </c>
      <c r="H91" s="18" t="s">
        <v>85</v>
      </c>
      <c r="I91" s="18" t="s">
        <v>86</v>
      </c>
      <c r="J91" s="18" t="s">
        <v>781</v>
      </c>
      <c r="K91" s="18" t="s">
        <v>188</v>
      </c>
      <c r="L91" s="16" t="s">
        <v>89</v>
      </c>
      <c r="M91" s="17">
        <v>3</v>
      </c>
      <c r="N91" s="17"/>
      <c r="O91" s="17"/>
      <c r="P91" s="18" t="s">
        <v>782</v>
      </c>
      <c r="Q91" s="18"/>
      <c r="R91" s="17" t="s">
        <v>91</v>
      </c>
      <c r="S91" s="18"/>
      <c r="T91" s="18"/>
      <c r="U91" s="17"/>
      <c r="V91" s="18"/>
      <c r="W91" s="18"/>
      <c r="X91" s="17"/>
      <c r="Y91" s="18"/>
      <c r="Z91" s="18" t="s">
        <v>1014</v>
      </c>
      <c r="AA91" s="17" t="s">
        <v>93</v>
      </c>
      <c r="AB91" s="18"/>
      <c r="AC91" s="18" t="s">
        <v>180</v>
      </c>
      <c r="AD91" s="17" t="s">
        <v>784</v>
      </c>
      <c r="AE91" s="17"/>
      <c r="AF91" s="17" t="s">
        <v>785</v>
      </c>
      <c r="AG91" s="18"/>
      <c r="AH91" s="52">
        <v>46113</v>
      </c>
      <c r="AI91" s="52">
        <v>46478</v>
      </c>
      <c r="AJ91" s="17" t="s">
        <v>97</v>
      </c>
      <c r="AK91" s="18" t="s">
        <v>945</v>
      </c>
      <c r="AL91" s="18"/>
      <c r="AM91" s="18"/>
      <c r="AN91" s="18"/>
    </row>
    <row r="92" spans="1:40" ht="51" x14ac:dyDescent="0.25">
      <c r="A92" s="12" t="s">
        <v>786</v>
      </c>
      <c r="B92" s="13" t="s">
        <v>787</v>
      </c>
      <c r="C92" s="14" t="s">
        <v>80</v>
      </c>
      <c r="D92" s="13" t="s">
        <v>788</v>
      </c>
      <c r="E92" s="13" t="s">
        <v>789</v>
      </c>
      <c r="F92" s="22" t="s">
        <v>566</v>
      </c>
      <c r="G92" s="12" t="s">
        <v>84</v>
      </c>
      <c r="H92" s="13" t="s">
        <v>85</v>
      </c>
      <c r="I92" s="13" t="s">
        <v>86</v>
      </c>
      <c r="J92" s="13" t="s">
        <v>790</v>
      </c>
      <c r="K92" s="13" t="s">
        <v>372</v>
      </c>
      <c r="L92" s="16" t="s">
        <v>89</v>
      </c>
      <c r="M92" s="12">
        <v>3</v>
      </c>
      <c r="N92" s="12"/>
      <c r="O92" s="12"/>
      <c r="P92" s="13" t="s">
        <v>791</v>
      </c>
      <c r="Q92" s="13"/>
      <c r="R92" s="12" t="s">
        <v>91</v>
      </c>
      <c r="S92" s="13"/>
      <c r="T92" s="13"/>
      <c r="U92" s="12"/>
      <c r="V92" s="13"/>
      <c r="W92" s="13"/>
      <c r="X92" s="12"/>
      <c r="Y92" s="13"/>
      <c r="Z92" s="13" t="s">
        <v>1015</v>
      </c>
      <c r="AA92" s="12" t="s">
        <v>93</v>
      </c>
      <c r="AB92" s="13"/>
      <c r="AC92" s="13"/>
      <c r="AD92" s="12" t="s">
        <v>793</v>
      </c>
      <c r="AE92" s="12"/>
      <c r="AF92" s="12" t="s">
        <v>794</v>
      </c>
      <c r="AG92" s="13"/>
      <c r="AH92" s="51">
        <v>46113</v>
      </c>
      <c r="AI92" s="51">
        <v>46478</v>
      </c>
      <c r="AJ92" s="12" t="s">
        <v>97</v>
      </c>
      <c r="AK92" s="13" t="s">
        <v>945</v>
      </c>
      <c r="AL92" s="13"/>
      <c r="AM92" s="13"/>
      <c r="AN92" s="13"/>
    </row>
    <row r="93" spans="1:40" ht="51" x14ac:dyDescent="0.25">
      <c r="A93" s="17" t="s">
        <v>795</v>
      </c>
      <c r="B93" s="18" t="s">
        <v>796</v>
      </c>
      <c r="C93" s="14" t="s">
        <v>80</v>
      </c>
      <c r="D93" s="18" t="s">
        <v>797</v>
      </c>
      <c r="E93" s="18" t="s">
        <v>798</v>
      </c>
      <c r="F93" s="22" t="s">
        <v>566</v>
      </c>
      <c r="G93" s="17" t="s">
        <v>84</v>
      </c>
      <c r="H93" s="18" t="s">
        <v>85</v>
      </c>
      <c r="I93" s="18" t="s">
        <v>111</v>
      </c>
      <c r="J93" s="18" t="s">
        <v>765</v>
      </c>
      <c r="K93" s="18" t="s">
        <v>188</v>
      </c>
      <c r="L93" s="19" t="s">
        <v>112</v>
      </c>
      <c r="M93" s="17">
        <v>2</v>
      </c>
      <c r="N93" s="17"/>
      <c r="O93" s="17" t="s">
        <v>946</v>
      </c>
      <c r="P93" s="18" t="s">
        <v>588</v>
      </c>
      <c r="Q93" s="18"/>
      <c r="R93" s="17" t="s">
        <v>91</v>
      </c>
      <c r="S93" s="18"/>
      <c r="T93" s="18"/>
      <c r="U93" s="17"/>
      <c r="V93" s="18"/>
      <c r="W93" s="18"/>
      <c r="X93" s="17"/>
      <c r="Y93" s="18"/>
      <c r="Z93" s="18" t="s">
        <v>949</v>
      </c>
      <c r="AA93" s="17"/>
      <c r="AB93" s="18" t="s">
        <v>114</v>
      </c>
      <c r="AC93" s="18"/>
      <c r="AD93" s="17" t="s">
        <v>799</v>
      </c>
      <c r="AE93" s="17"/>
      <c r="AF93" s="17" t="s">
        <v>800</v>
      </c>
      <c r="AG93" s="18"/>
      <c r="AH93" s="52">
        <v>46113</v>
      </c>
      <c r="AI93" s="52">
        <v>46478</v>
      </c>
      <c r="AJ93" s="17" t="s">
        <v>97</v>
      </c>
      <c r="AK93" s="18" t="s">
        <v>945</v>
      </c>
      <c r="AL93" s="18"/>
      <c r="AM93" s="18"/>
      <c r="AN93" s="18"/>
    </row>
    <row r="94" spans="1:40" ht="38.25" x14ac:dyDescent="0.25">
      <c r="A94" s="12" t="s">
        <v>801</v>
      </c>
      <c r="B94" s="13" t="s">
        <v>802</v>
      </c>
      <c r="C94" s="14" t="s">
        <v>80</v>
      </c>
      <c r="D94" s="13" t="s">
        <v>803</v>
      </c>
      <c r="E94" s="13" t="s">
        <v>804</v>
      </c>
      <c r="F94" s="22" t="s">
        <v>566</v>
      </c>
      <c r="G94" s="12" t="s">
        <v>84</v>
      </c>
      <c r="H94" s="13" t="s">
        <v>85</v>
      </c>
      <c r="I94" s="13" t="s">
        <v>111</v>
      </c>
      <c r="J94" s="13" t="s">
        <v>765</v>
      </c>
      <c r="K94" s="13" t="s">
        <v>188</v>
      </c>
      <c r="L94" s="16" t="s">
        <v>89</v>
      </c>
      <c r="M94" s="12">
        <v>3</v>
      </c>
      <c r="N94" s="12"/>
      <c r="O94" s="12"/>
      <c r="P94" s="13" t="s">
        <v>588</v>
      </c>
      <c r="Q94" s="13"/>
      <c r="R94" s="12" t="s">
        <v>91</v>
      </c>
      <c r="S94" s="13"/>
      <c r="T94" s="13"/>
      <c r="U94" s="12"/>
      <c r="V94" s="13"/>
      <c r="W94" s="13"/>
      <c r="X94" s="12"/>
      <c r="Y94" s="13"/>
      <c r="Z94" s="13" t="s">
        <v>1016</v>
      </c>
      <c r="AA94" s="12" t="s">
        <v>93</v>
      </c>
      <c r="AB94" s="13"/>
      <c r="AC94" s="13" t="s">
        <v>180</v>
      </c>
      <c r="AD94" s="12" t="s">
        <v>799</v>
      </c>
      <c r="AE94" s="12"/>
      <c r="AF94" s="12" t="s">
        <v>806</v>
      </c>
      <c r="AG94" s="13"/>
      <c r="AH94" s="51">
        <v>46113</v>
      </c>
      <c r="AI94" s="51">
        <v>46478</v>
      </c>
      <c r="AJ94" s="12" t="s">
        <v>97</v>
      </c>
      <c r="AK94" s="13" t="s">
        <v>945</v>
      </c>
      <c r="AL94" s="13"/>
      <c r="AM94" s="13"/>
      <c r="AN94" s="13"/>
    </row>
    <row r="95" spans="1:40" ht="51" x14ac:dyDescent="0.25">
      <c r="A95" s="17" t="s">
        <v>807</v>
      </c>
      <c r="B95" s="18" t="s">
        <v>808</v>
      </c>
      <c r="C95" s="14" t="s">
        <v>80</v>
      </c>
      <c r="D95" s="18" t="s">
        <v>809</v>
      </c>
      <c r="E95" s="18" t="s">
        <v>810</v>
      </c>
      <c r="F95" s="22" t="s">
        <v>566</v>
      </c>
      <c r="G95" s="17" t="s">
        <v>84</v>
      </c>
      <c r="H95" s="18" t="s">
        <v>740</v>
      </c>
      <c r="I95" s="18" t="s">
        <v>111</v>
      </c>
      <c r="J95" s="18" t="s">
        <v>196</v>
      </c>
      <c r="K95" s="18" t="s">
        <v>188</v>
      </c>
      <c r="L95" s="19" t="s">
        <v>112</v>
      </c>
      <c r="M95" s="17">
        <v>2</v>
      </c>
      <c r="N95" s="17"/>
      <c r="O95" s="17" t="s">
        <v>946</v>
      </c>
      <c r="P95" s="18" t="s">
        <v>811</v>
      </c>
      <c r="Q95" s="18"/>
      <c r="R95" s="17" t="s">
        <v>91</v>
      </c>
      <c r="S95" s="18"/>
      <c r="T95" s="18"/>
      <c r="U95" s="17"/>
      <c r="V95" s="18"/>
      <c r="W95" s="18"/>
      <c r="X95" s="17"/>
      <c r="Y95" s="18"/>
      <c r="Z95" s="18" t="s">
        <v>1017</v>
      </c>
      <c r="AA95" s="17"/>
      <c r="AB95" s="18" t="s">
        <v>114</v>
      </c>
      <c r="AC95" s="18"/>
      <c r="AD95" s="17" t="s">
        <v>813</v>
      </c>
      <c r="AE95" s="17"/>
      <c r="AF95" s="17" t="s">
        <v>375</v>
      </c>
      <c r="AG95" s="18"/>
      <c r="AH95" s="52">
        <v>46113</v>
      </c>
      <c r="AI95" s="52">
        <v>46478</v>
      </c>
      <c r="AJ95" s="17" t="s">
        <v>97</v>
      </c>
      <c r="AK95" s="18" t="s">
        <v>945</v>
      </c>
      <c r="AL95" s="18"/>
      <c r="AM95" s="18"/>
      <c r="AN95" s="18"/>
    </row>
    <row r="96" spans="1:40" ht="51" x14ac:dyDescent="0.25">
      <c r="A96" s="12" t="s">
        <v>814</v>
      </c>
      <c r="B96" s="13" t="s">
        <v>815</v>
      </c>
      <c r="C96" s="14" t="s">
        <v>80</v>
      </c>
      <c r="D96" s="13" t="s">
        <v>816</v>
      </c>
      <c r="E96" s="13" t="s">
        <v>817</v>
      </c>
      <c r="F96" s="22" t="s">
        <v>566</v>
      </c>
      <c r="G96" s="12" t="s">
        <v>84</v>
      </c>
      <c r="H96" s="13" t="s">
        <v>85</v>
      </c>
      <c r="I96" s="13" t="s">
        <v>111</v>
      </c>
      <c r="J96" s="13" t="s">
        <v>391</v>
      </c>
      <c r="K96" s="13" t="s">
        <v>159</v>
      </c>
      <c r="L96" s="16" t="s">
        <v>89</v>
      </c>
      <c r="M96" s="12">
        <v>3</v>
      </c>
      <c r="N96" s="12"/>
      <c r="O96" s="12"/>
      <c r="P96" s="13" t="s">
        <v>392</v>
      </c>
      <c r="Q96" s="13"/>
      <c r="R96" s="12" t="s">
        <v>91</v>
      </c>
      <c r="S96" s="13"/>
      <c r="T96" s="13"/>
      <c r="U96" s="12"/>
      <c r="V96" s="13"/>
      <c r="W96" s="13"/>
      <c r="X96" s="12"/>
      <c r="Y96" s="13"/>
      <c r="Z96" s="13" t="s">
        <v>1001</v>
      </c>
      <c r="AA96" s="12" t="s">
        <v>93</v>
      </c>
      <c r="AB96" s="13"/>
      <c r="AC96" s="13" t="s">
        <v>818</v>
      </c>
      <c r="AD96" s="12" t="s">
        <v>819</v>
      </c>
      <c r="AE96" s="12" t="s">
        <v>129</v>
      </c>
      <c r="AF96" s="12" t="s">
        <v>820</v>
      </c>
      <c r="AG96" s="13"/>
      <c r="AH96" s="51">
        <v>46113</v>
      </c>
      <c r="AI96" s="51">
        <v>46478</v>
      </c>
      <c r="AJ96" s="12" t="s">
        <v>97</v>
      </c>
      <c r="AK96" s="13" t="s">
        <v>945</v>
      </c>
      <c r="AL96" s="13"/>
      <c r="AM96" s="13"/>
      <c r="AN96" s="13"/>
    </row>
  </sheetData>
  <mergeCells count="1">
    <mergeCell ref="A1:AN1"/>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showGridLines="0" zoomScaleNormal="100" workbookViewId="0">
      <selection sqref="A1:H1"/>
    </sheetView>
  </sheetViews>
  <sheetFormatPr defaultColWidth="8.7109375" defaultRowHeight="15" x14ac:dyDescent="0.25"/>
  <cols>
    <col min="1" max="8" width="20" customWidth="1"/>
  </cols>
  <sheetData>
    <row r="1" spans="1:8" ht="27.75" customHeight="1" x14ac:dyDescent="0.25">
      <c r="A1" s="2" t="s">
        <v>821</v>
      </c>
      <c r="B1" s="2"/>
      <c r="C1" s="2"/>
      <c r="D1" s="2"/>
      <c r="E1" s="2"/>
      <c r="F1" s="2"/>
      <c r="G1" s="2"/>
      <c r="H1" s="2"/>
    </row>
    <row r="3" spans="1:8" ht="15" customHeight="1" x14ac:dyDescent="0.25">
      <c r="A3" s="8" t="s">
        <v>822</v>
      </c>
      <c r="B3" s="8"/>
      <c r="C3" s="8"/>
      <c r="D3" s="8"/>
      <c r="F3" s="8" t="s">
        <v>823</v>
      </c>
      <c r="G3" s="8"/>
      <c r="H3" s="8"/>
    </row>
    <row r="4" spans="1:8" x14ac:dyDescent="0.25">
      <c r="A4" s="23" t="s">
        <v>824</v>
      </c>
      <c r="B4" s="23" t="s">
        <v>825</v>
      </c>
      <c r="C4" s="23" t="s">
        <v>826</v>
      </c>
      <c r="D4" s="23" t="s">
        <v>827</v>
      </c>
      <c r="F4" s="23" t="s">
        <v>828</v>
      </c>
      <c r="G4" s="23" t="s">
        <v>825</v>
      </c>
      <c r="H4" s="23" t="s">
        <v>826</v>
      </c>
    </row>
    <row r="5" spans="1:8" x14ac:dyDescent="0.25">
      <c r="A5" s="10" t="s">
        <v>89</v>
      </c>
      <c r="B5" s="12">
        <f>COUNTIF('SoA Register'!L:L,"Implemented")</f>
        <v>61</v>
      </c>
      <c r="C5" s="24">
        <f>B5/SUM($B$5:$B$8)</f>
        <v>0.65591397849462363</v>
      </c>
      <c r="D5" s="25" t="s">
        <v>829</v>
      </c>
      <c r="F5" s="26" t="s">
        <v>83</v>
      </c>
      <c r="G5" s="12">
        <f>COUNTIF('SoA Register'!F:F,"A.5 Organizational")</f>
        <v>37</v>
      </c>
      <c r="H5" s="24">
        <f>G5/SUM($G$5:$G$8)</f>
        <v>0.39784946236559138</v>
      </c>
    </row>
    <row r="6" spans="1:8" x14ac:dyDescent="0.25">
      <c r="A6" s="10" t="s">
        <v>112</v>
      </c>
      <c r="B6" s="12">
        <f>COUNTIF('SoA Register'!L:L,"Partially Implemented")</f>
        <v>18</v>
      </c>
      <c r="C6" s="24">
        <f>B6/SUM($B$5:$B$8)</f>
        <v>0.19354838709677419</v>
      </c>
      <c r="D6" s="27" t="s">
        <v>829</v>
      </c>
      <c r="F6" s="28" t="s">
        <v>413</v>
      </c>
      <c r="G6" s="12">
        <f>COUNTIF('SoA Register'!F:F,"A.6 People")</f>
        <v>8</v>
      </c>
      <c r="H6" s="24">
        <f>G6/SUM($G$5:$G$8)</f>
        <v>8.6021505376344093E-2</v>
      </c>
    </row>
    <row r="7" spans="1:8" x14ac:dyDescent="0.25">
      <c r="A7" s="10" t="s">
        <v>177</v>
      </c>
      <c r="B7" s="12">
        <f>COUNTIF('SoA Register'!L:L,"Planned")</f>
        <v>14</v>
      </c>
      <c r="C7" s="24">
        <f>B7/SUM($B$5:$B$8)</f>
        <v>0.15053763440860216</v>
      </c>
      <c r="D7" s="29" t="s">
        <v>829</v>
      </c>
      <c r="F7" s="30" t="s">
        <v>477</v>
      </c>
      <c r="G7" s="12">
        <f>COUNTIF('SoA Register'!F:F,"A.7 Physical")</f>
        <v>14</v>
      </c>
      <c r="H7" s="24">
        <f>G7/SUM($G$5:$G$8)</f>
        <v>0.15053763440860216</v>
      </c>
    </row>
    <row r="8" spans="1:8" x14ac:dyDescent="0.25">
      <c r="A8" s="10" t="s">
        <v>830</v>
      </c>
      <c r="B8" s="12">
        <f>COUNTIF('SoA Register'!L:L,"Not Implemented")</f>
        <v>0</v>
      </c>
      <c r="C8" s="24">
        <f>B8/SUM($B$5:$B$8)</f>
        <v>0</v>
      </c>
      <c r="D8" s="31" t="s">
        <v>829</v>
      </c>
      <c r="F8" s="32" t="s">
        <v>566</v>
      </c>
      <c r="G8" s="12">
        <f>COUNTIF('SoA Register'!F:F,"A.8 Technological")</f>
        <v>34</v>
      </c>
      <c r="H8" s="24">
        <f>G8/SUM($G$5:$G$8)</f>
        <v>0.36559139784946237</v>
      </c>
    </row>
    <row r="9" spans="1:8" x14ac:dyDescent="0.25">
      <c r="A9" s="33" t="s">
        <v>831</v>
      </c>
      <c r="B9" s="33">
        <f>SUM(B5:B8)</f>
        <v>93</v>
      </c>
      <c r="C9" s="33" t="s">
        <v>832</v>
      </c>
      <c r="D9" s="34"/>
      <c r="F9" s="33" t="s">
        <v>831</v>
      </c>
      <c r="G9" s="33">
        <f>SUM(G5:G8)</f>
        <v>93</v>
      </c>
      <c r="H9" s="33" t="s">
        <v>832</v>
      </c>
    </row>
    <row r="12" spans="1:8" ht="15" customHeight="1" x14ac:dyDescent="0.25">
      <c r="A12" s="8" t="s">
        <v>833</v>
      </c>
      <c r="B12" s="8"/>
      <c r="C12" s="8"/>
      <c r="D12" s="8"/>
      <c r="F12" s="8" t="s">
        <v>834</v>
      </c>
      <c r="G12" s="8"/>
      <c r="H12" s="8"/>
    </row>
    <row r="13" spans="1:8" x14ac:dyDescent="0.25">
      <c r="A13" s="23" t="s">
        <v>835</v>
      </c>
      <c r="B13" s="23" t="s">
        <v>825</v>
      </c>
      <c r="C13" s="23" t="s">
        <v>826</v>
      </c>
      <c r="F13" s="23" t="s">
        <v>836</v>
      </c>
      <c r="G13" s="23" t="s">
        <v>825</v>
      </c>
      <c r="H13" s="23" t="s">
        <v>837</v>
      </c>
    </row>
    <row r="14" spans="1:8" x14ac:dyDescent="0.25">
      <c r="A14" s="30" t="s">
        <v>80</v>
      </c>
      <c r="B14" s="12">
        <f>COUNTIF('SoA Register'!C:C,"Applicable")</f>
        <v>93</v>
      </c>
      <c r="C14" s="24">
        <f>B14/SUM($B$14:$B$15)</f>
        <v>1</v>
      </c>
      <c r="F14" s="10" t="s">
        <v>838</v>
      </c>
      <c r="G14" s="12">
        <f>COUNTIF('SoA Register'!M:M,3)</f>
        <v>61</v>
      </c>
      <c r="H14" s="24">
        <f>G14/COUNTIF('SoA Register'!C:C,"Applicable")</f>
        <v>0.65591397849462363</v>
      </c>
    </row>
    <row r="15" spans="1:8" x14ac:dyDescent="0.25">
      <c r="A15" s="35" t="s">
        <v>839</v>
      </c>
      <c r="B15" s="12">
        <f>COUNTIF('SoA Register'!C:C,"Not Applicable")</f>
        <v>0</v>
      </c>
      <c r="C15" s="24">
        <f>B15/SUM($B$14:$B$15)</f>
        <v>0</v>
      </c>
      <c r="F15" s="10" t="s">
        <v>840</v>
      </c>
      <c r="G15" s="12">
        <f>COUNTIF('SoA Register'!M:M,2)</f>
        <v>18</v>
      </c>
      <c r="H15" s="24">
        <f>G15/COUNTIF('SoA Register'!C:C,"Applicable")</f>
        <v>0.19354838709677419</v>
      </c>
    </row>
    <row r="16" spans="1:8" x14ac:dyDescent="0.25">
      <c r="F16" s="10" t="s">
        <v>841</v>
      </c>
      <c r="G16" s="12">
        <f>COUNTIF('SoA Register'!M:M,1)</f>
        <v>14</v>
      </c>
      <c r="H16" s="24">
        <f>G16/COUNTIF('SoA Register'!C:C,"Applicable")</f>
        <v>0.15053763440860216</v>
      </c>
    </row>
    <row r="17" spans="1:8" ht="25.5" x14ac:dyDescent="0.25">
      <c r="F17" s="10" t="s">
        <v>842</v>
      </c>
      <c r="G17" s="12">
        <f>COUNTIF('SoA Register'!M:M,0)</f>
        <v>0</v>
      </c>
      <c r="H17" s="24">
        <f>G17/COUNTIF('SoA Register'!C:C,"Applicable")</f>
        <v>0</v>
      </c>
    </row>
    <row r="20" spans="1:8" ht="15" customHeight="1" x14ac:dyDescent="0.25">
      <c r="A20" s="8" t="s">
        <v>843</v>
      </c>
      <c r="B20" s="8"/>
      <c r="C20" s="8"/>
      <c r="D20" s="8"/>
      <c r="E20" s="8"/>
      <c r="F20" s="8"/>
    </row>
    <row r="21" spans="1:8" x14ac:dyDescent="0.25">
      <c r="A21" s="23" t="s">
        <v>828</v>
      </c>
      <c r="B21" s="23" t="s">
        <v>89</v>
      </c>
      <c r="C21" s="23" t="s">
        <v>844</v>
      </c>
      <c r="D21" s="23" t="s">
        <v>177</v>
      </c>
      <c r="E21" s="23" t="s">
        <v>845</v>
      </c>
      <c r="F21" s="23" t="s">
        <v>846</v>
      </c>
    </row>
    <row r="22" spans="1:8" x14ac:dyDescent="0.25">
      <c r="A22" s="10" t="s">
        <v>83</v>
      </c>
      <c r="B22" s="12">
        <f>COUNTIFS('SoA Register'!F:F,"A.5 Organizational",'SoA Register'!L:L,"Implemented")</f>
        <v>27</v>
      </c>
      <c r="C22" s="12">
        <f>COUNTIFS('SoA Register'!F:F,"A.5 Organizational",'SoA Register'!L:L,"Partially Implemented")</f>
        <v>8</v>
      </c>
      <c r="D22" s="12">
        <f>COUNTIFS('SoA Register'!F:F,"A.5 Organizational",'SoA Register'!L:L,"Planned")</f>
        <v>2</v>
      </c>
      <c r="E22" s="12">
        <f>COUNTIFS('SoA Register'!F:F,"A.5 Organizational",'SoA Register'!L:L,"Not Implemented")</f>
        <v>0</v>
      </c>
      <c r="F22" s="12">
        <f>SUM(B22:E22)</f>
        <v>37</v>
      </c>
    </row>
    <row r="23" spans="1:8" x14ac:dyDescent="0.25">
      <c r="A23" s="10" t="s">
        <v>413</v>
      </c>
      <c r="B23" s="12">
        <f>COUNTIFS('SoA Register'!F:F,"A.6 People",'SoA Register'!L:L,"Implemented")</f>
        <v>4</v>
      </c>
      <c r="C23" s="12">
        <f>COUNTIFS('SoA Register'!F:F,"A.6 People",'SoA Register'!L:L,"Partially Implemented")</f>
        <v>0</v>
      </c>
      <c r="D23" s="12">
        <f>COUNTIFS('SoA Register'!F:F,"A.6 People",'SoA Register'!L:L,"Planned")</f>
        <v>4</v>
      </c>
      <c r="E23" s="12">
        <f>COUNTIFS('SoA Register'!F:F,"A.6 People",'SoA Register'!L:L,"Not Implemented")</f>
        <v>0</v>
      </c>
      <c r="F23" s="12">
        <f>SUM(B23:E23)</f>
        <v>8</v>
      </c>
    </row>
    <row r="24" spans="1:8" x14ac:dyDescent="0.25">
      <c r="A24" s="10" t="s">
        <v>477</v>
      </c>
      <c r="B24" s="12">
        <f>COUNTIFS('SoA Register'!F:F,"A.7 Physical",'SoA Register'!L:L,"Implemented")</f>
        <v>2</v>
      </c>
      <c r="C24" s="12">
        <f>COUNTIFS('SoA Register'!F:F,"A.7 Physical",'SoA Register'!L:L,"Partially Implemented")</f>
        <v>4</v>
      </c>
      <c r="D24" s="12">
        <f>COUNTIFS('SoA Register'!F:F,"A.7 Physical",'SoA Register'!L:L,"Planned")</f>
        <v>8</v>
      </c>
      <c r="E24" s="12">
        <f>COUNTIFS('SoA Register'!F:F,"A.7 Physical",'SoA Register'!L:L,"Not Implemented")</f>
        <v>0</v>
      </c>
      <c r="F24" s="12">
        <f>SUM(B24:E24)</f>
        <v>14</v>
      </c>
    </row>
    <row r="25" spans="1:8" x14ac:dyDescent="0.25">
      <c r="A25" s="10" t="s">
        <v>566</v>
      </c>
      <c r="B25" s="12">
        <f>COUNTIFS('SoA Register'!F:F,"A.8 Technological",'SoA Register'!L:L,"Implemented")</f>
        <v>28</v>
      </c>
      <c r="C25" s="12">
        <f>COUNTIFS('SoA Register'!F:F,"A.8 Technological",'SoA Register'!L:L,"Partially Implemented")</f>
        <v>6</v>
      </c>
      <c r="D25" s="12">
        <f>COUNTIFS('SoA Register'!F:F,"A.8 Technological",'SoA Register'!L:L,"Planned")</f>
        <v>0</v>
      </c>
      <c r="E25" s="12">
        <f>COUNTIFS('SoA Register'!F:F,"A.8 Technological",'SoA Register'!L:L,"Not Implemented")</f>
        <v>0</v>
      </c>
      <c r="F25" s="12">
        <f>SUM(B25:E25)</f>
        <v>34</v>
      </c>
    </row>
    <row r="26" spans="1:8" x14ac:dyDescent="0.25">
      <c r="A26" s="33" t="s">
        <v>831</v>
      </c>
      <c r="B26" s="33">
        <f>SUM(B22:B25)</f>
        <v>61</v>
      </c>
      <c r="C26" s="33">
        <f>SUM(C22:C25)</f>
        <v>18</v>
      </c>
      <c r="D26" s="33">
        <f>SUM(D22:D25)</f>
        <v>14</v>
      </c>
      <c r="E26" s="33">
        <f>SUM(E22:E25)</f>
        <v>0</v>
      </c>
      <c r="F26" s="33">
        <f>SUM(F22:F25)</f>
        <v>93</v>
      </c>
    </row>
  </sheetData>
  <mergeCells count="6">
    <mergeCell ref="A20:F20"/>
    <mergeCell ref="A1:H1"/>
    <mergeCell ref="A3:D3"/>
    <mergeCell ref="F3:H3"/>
    <mergeCell ref="A12:D12"/>
    <mergeCell ref="F12:H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
  <sheetViews>
    <sheetView showGridLines="0" zoomScaleNormal="100" workbookViewId="0">
      <pane xSplit="1" ySplit="4" topLeftCell="B92" activePane="bottomRight" state="frozen"/>
      <selection pane="topRight" activeCell="B1" sqref="B1"/>
      <selection pane="bottomLeft" activeCell="A5" sqref="A5"/>
      <selection pane="bottomRight" sqref="A1:XFD1048576"/>
    </sheetView>
  </sheetViews>
  <sheetFormatPr defaultColWidth="8.7109375" defaultRowHeight="15" x14ac:dyDescent="0.25"/>
  <cols>
    <col min="1" max="1" width="9" customWidth="1"/>
    <col min="2" max="2" width="40" customWidth="1"/>
    <col min="3" max="3" width="27.85546875" customWidth="1"/>
    <col min="4" max="4" width="32" customWidth="1"/>
    <col min="5" max="5" width="30" customWidth="1"/>
  </cols>
  <sheetData>
    <row r="1" spans="1:5" ht="18" x14ac:dyDescent="0.25">
      <c r="A1" s="2" t="s">
        <v>847</v>
      </c>
      <c r="B1" s="2"/>
      <c r="C1" s="2"/>
      <c r="D1" s="2"/>
      <c r="E1" s="2"/>
    </row>
    <row r="2" spans="1:5" x14ac:dyDescent="0.25">
      <c r="A2" s="1" t="s">
        <v>848</v>
      </c>
      <c r="B2" s="1"/>
      <c r="C2" s="1"/>
      <c r="D2" s="1"/>
      <c r="E2" s="1"/>
    </row>
    <row r="4" spans="1:5" x14ac:dyDescent="0.25">
      <c r="A4" s="11" t="s">
        <v>38</v>
      </c>
      <c r="B4" s="11" t="s">
        <v>39</v>
      </c>
      <c r="C4" s="11" t="s">
        <v>828</v>
      </c>
      <c r="D4" s="11" t="s">
        <v>849</v>
      </c>
      <c r="E4" s="11" t="s">
        <v>850</v>
      </c>
    </row>
    <row r="5" spans="1:5" ht="25.5" x14ac:dyDescent="0.25">
      <c r="A5" s="12" t="s">
        <v>78</v>
      </c>
      <c r="B5" s="10" t="s">
        <v>79</v>
      </c>
      <c r="C5" s="36" t="s">
        <v>83</v>
      </c>
      <c r="D5" s="10" t="s">
        <v>92</v>
      </c>
      <c r="E5" s="10" t="s">
        <v>851</v>
      </c>
    </row>
    <row r="6" spans="1:5" ht="25.5" x14ac:dyDescent="0.25">
      <c r="A6" s="17" t="s">
        <v>98</v>
      </c>
      <c r="B6" s="37" t="s">
        <v>99</v>
      </c>
      <c r="C6" s="36" t="s">
        <v>83</v>
      </c>
      <c r="D6" s="37"/>
      <c r="E6" s="37" t="s">
        <v>852</v>
      </c>
    </row>
    <row r="7" spans="1:5" ht="25.5" x14ac:dyDescent="0.25">
      <c r="A7" s="12" t="s">
        <v>107</v>
      </c>
      <c r="B7" s="10" t="s">
        <v>108</v>
      </c>
      <c r="C7" s="36" t="s">
        <v>83</v>
      </c>
      <c r="D7" s="10"/>
      <c r="E7" s="10" t="s">
        <v>852</v>
      </c>
    </row>
    <row r="8" spans="1:5" ht="25.5" x14ac:dyDescent="0.25">
      <c r="A8" s="17" t="s">
        <v>117</v>
      </c>
      <c r="B8" s="37" t="s">
        <v>118</v>
      </c>
      <c r="C8" s="36" t="s">
        <v>83</v>
      </c>
      <c r="D8" s="37"/>
      <c r="E8" s="37" t="s">
        <v>852</v>
      </c>
    </row>
    <row r="9" spans="1:5" ht="25.5" x14ac:dyDescent="0.25">
      <c r="A9" s="12" t="s">
        <v>123</v>
      </c>
      <c r="B9" s="10" t="s">
        <v>124</v>
      </c>
      <c r="C9" s="36" t="s">
        <v>83</v>
      </c>
      <c r="D9" s="10"/>
      <c r="E9" s="10" t="s">
        <v>852</v>
      </c>
    </row>
    <row r="10" spans="1:5" ht="25.5" x14ac:dyDescent="0.25">
      <c r="A10" s="17" t="s">
        <v>131</v>
      </c>
      <c r="B10" s="37" t="s">
        <v>132</v>
      </c>
      <c r="C10" s="36" t="s">
        <v>83</v>
      </c>
      <c r="D10" s="37" t="s">
        <v>138</v>
      </c>
      <c r="E10" s="37" t="s">
        <v>851</v>
      </c>
    </row>
    <row r="11" spans="1:5" ht="25.5" x14ac:dyDescent="0.25">
      <c r="A11" s="12" t="s">
        <v>141</v>
      </c>
      <c r="B11" s="10" t="s">
        <v>142</v>
      </c>
      <c r="C11" s="36" t="s">
        <v>83</v>
      </c>
      <c r="D11" s="10" t="s">
        <v>150</v>
      </c>
      <c r="E11" s="10" t="s">
        <v>851</v>
      </c>
    </row>
    <row r="12" spans="1:5" ht="25.5" x14ac:dyDescent="0.25">
      <c r="A12" s="17" t="s">
        <v>155</v>
      </c>
      <c r="B12" s="37" t="s">
        <v>156</v>
      </c>
      <c r="C12" s="36" t="s">
        <v>83</v>
      </c>
      <c r="D12" s="37" t="s">
        <v>161</v>
      </c>
      <c r="E12" s="37" t="s">
        <v>851</v>
      </c>
    </row>
    <row r="13" spans="1:5" ht="25.5" x14ac:dyDescent="0.25">
      <c r="A13" s="12" t="s">
        <v>163</v>
      </c>
      <c r="B13" s="10" t="s">
        <v>164</v>
      </c>
      <c r="C13" s="36" t="s">
        <v>83</v>
      </c>
      <c r="D13" s="10" t="s">
        <v>169</v>
      </c>
      <c r="E13" s="10" t="s">
        <v>851</v>
      </c>
    </row>
    <row r="14" spans="1:5" ht="25.5" x14ac:dyDescent="0.25">
      <c r="A14" s="17" t="s">
        <v>172</v>
      </c>
      <c r="B14" s="37" t="s">
        <v>173</v>
      </c>
      <c r="C14" s="36" t="s">
        <v>83</v>
      </c>
      <c r="D14" s="37" t="s">
        <v>179</v>
      </c>
      <c r="E14" s="37" t="s">
        <v>851</v>
      </c>
    </row>
    <row r="15" spans="1:5" ht="25.5" x14ac:dyDescent="0.25">
      <c r="A15" s="12" t="s">
        <v>184</v>
      </c>
      <c r="B15" s="10" t="s">
        <v>185</v>
      </c>
      <c r="C15" s="36" t="s">
        <v>83</v>
      </c>
      <c r="D15" s="10" t="s">
        <v>190</v>
      </c>
      <c r="E15" s="10" t="s">
        <v>851</v>
      </c>
    </row>
    <row r="16" spans="1:5" ht="25.5" x14ac:dyDescent="0.25">
      <c r="A16" s="17" t="s">
        <v>192</v>
      </c>
      <c r="B16" s="37" t="s">
        <v>193</v>
      </c>
      <c r="C16" s="36" t="s">
        <v>83</v>
      </c>
      <c r="D16" s="37" t="s">
        <v>198</v>
      </c>
      <c r="E16" s="37" t="s">
        <v>851</v>
      </c>
    </row>
    <row r="17" spans="1:5" ht="25.5" x14ac:dyDescent="0.25">
      <c r="A17" s="12" t="s">
        <v>202</v>
      </c>
      <c r="B17" s="10" t="s">
        <v>203</v>
      </c>
      <c r="C17" s="36" t="s">
        <v>83</v>
      </c>
      <c r="D17" s="10" t="s">
        <v>206</v>
      </c>
      <c r="E17" s="10" t="s">
        <v>851</v>
      </c>
    </row>
    <row r="18" spans="1:5" ht="25.5" x14ac:dyDescent="0.25">
      <c r="A18" s="17" t="s">
        <v>208</v>
      </c>
      <c r="B18" s="37" t="s">
        <v>209</v>
      </c>
      <c r="C18" s="36" t="s">
        <v>83</v>
      </c>
      <c r="D18" s="37" t="s">
        <v>212</v>
      </c>
      <c r="E18" s="37" t="s">
        <v>851</v>
      </c>
    </row>
    <row r="19" spans="1:5" ht="25.5" x14ac:dyDescent="0.25">
      <c r="A19" s="12" t="s">
        <v>215</v>
      </c>
      <c r="B19" s="10" t="s">
        <v>216</v>
      </c>
      <c r="C19" s="36" t="s">
        <v>83</v>
      </c>
      <c r="D19" s="10" t="s">
        <v>221</v>
      </c>
      <c r="E19" s="10" t="s">
        <v>851</v>
      </c>
    </row>
    <row r="20" spans="1:5" ht="25.5" x14ac:dyDescent="0.25">
      <c r="A20" s="17" t="s">
        <v>225</v>
      </c>
      <c r="B20" s="37" t="s">
        <v>226</v>
      </c>
      <c r="C20" s="36" t="s">
        <v>83</v>
      </c>
      <c r="D20" s="37" t="s">
        <v>229</v>
      </c>
      <c r="E20" s="37" t="s">
        <v>851</v>
      </c>
    </row>
    <row r="21" spans="1:5" ht="25.5" x14ac:dyDescent="0.25">
      <c r="A21" s="12" t="s">
        <v>232</v>
      </c>
      <c r="B21" s="10" t="s">
        <v>233</v>
      </c>
      <c r="C21" s="36" t="s">
        <v>83</v>
      </c>
      <c r="D21" s="10" t="s">
        <v>221</v>
      </c>
      <c r="E21" s="10" t="s">
        <v>851</v>
      </c>
    </row>
    <row r="22" spans="1:5" ht="25.5" x14ac:dyDescent="0.25">
      <c r="A22" s="17" t="s">
        <v>237</v>
      </c>
      <c r="B22" s="37" t="s">
        <v>238</v>
      </c>
      <c r="C22" s="36" t="s">
        <v>83</v>
      </c>
      <c r="D22" s="37" t="s">
        <v>241</v>
      </c>
      <c r="E22" s="37" t="s">
        <v>851</v>
      </c>
    </row>
    <row r="23" spans="1:5" ht="25.5" x14ac:dyDescent="0.25">
      <c r="A23" s="12" t="s">
        <v>245</v>
      </c>
      <c r="B23" s="10" t="s">
        <v>246</v>
      </c>
      <c r="C23" s="36" t="s">
        <v>83</v>
      </c>
      <c r="D23" s="10" t="s">
        <v>251</v>
      </c>
      <c r="E23" s="10" t="s">
        <v>851</v>
      </c>
    </row>
    <row r="24" spans="1:5" ht="25.5" x14ac:dyDescent="0.25">
      <c r="A24" s="17" t="s">
        <v>255</v>
      </c>
      <c r="B24" s="37" t="s">
        <v>256</v>
      </c>
      <c r="C24" s="36" t="s">
        <v>83</v>
      </c>
      <c r="D24" s="37" t="s">
        <v>260</v>
      </c>
      <c r="E24" s="37" t="s">
        <v>851</v>
      </c>
    </row>
    <row r="25" spans="1:5" ht="25.5" x14ac:dyDescent="0.25">
      <c r="A25" s="12" t="s">
        <v>265</v>
      </c>
      <c r="B25" s="10" t="s">
        <v>266</v>
      </c>
      <c r="C25" s="36" t="s">
        <v>83</v>
      </c>
      <c r="D25" s="10" t="s">
        <v>270</v>
      </c>
      <c r="E25" s="10" t="s">
        <v>851</v>
      </c>
    </row>
    <row r="26" spans="1:5" ht="25.5" x14ac:dyDescent="0.25">
      <c r="A26" s="17" t="s">
        <v>272</v>
      </c>
      <c r="B26" s="37" t="s">
        <v>273</v>
      </c>
      <c r="C26" s="36" t="s">
        <v>83</v>
      </c>
      <c r="D26" s="37" t="s">
        <v>260</v>
      </c>
      <c r="E26" s="37" t="s">
        <v>851</v>
      </c>
    </row>
    <row r="27" spans="1:5" ht="25.5" x14ac:dyDescent="0.25">
      <c r="A27" s="12" t="s">
        <v>278</v>
      </c>
      <c r="B27" s="10" t="s">
        <v>279</v>
      </c>
      <c r="C27" s="36" t="s">
        <v>83</v>
      </c>
      <c r="D27" s="10" t="s">
        <v>283</v>
      </c>
      <c r="E27" s="10" t="s">
        <v>851</v>
      </c>
    </row>
    <row r="28" spans="1:5" ht="25.5" x14ac:dyDescent="0.25">
      <c r="A28" s="17" t="s">
        <v>285</v>
      </c>
      <c r="B28" s="37" t="s">
        <v>286</v>
      </c>
      <c r="C28" s="36" t="s">
        <v>83</v>
      </c>
      <c r="D28" s="37" t="s">
        <v>293</v>
      </c>
      <c r="E28" s="37" t="s">
        <v>851</v>
      </c>
    </row>
    <row r="29" spans="1:5" ht="25.5" x14ac:dyDescent="0.25">
      <c r="A29" s="12" t="s">
        <v>298</v>
      </c>
      <c r="B29" s="10" t="s">
        <v>299</v>
      </c>
      <c r="C29" s="36" t="s">
        <v>83</v>
      </c>
      <c r="D29" s="10" t="s">
        <v>305</v>
      </c>
      <c r="E29" s="10" t="s">
        <v>851</v>
      </c>
    </row>
    <row r="30" spans="1:5" ht="25.5" x14ac:dyDescent="0.25">
      <c r="A30" s="17" t="s">
        <v>308</v>
      </c>
      <c r="B30" s="37" t="s">
        <v>309</v>
      </c>
      <c r="C30" s="36" t="s">
        <v>83</v>
      </c>
      <c r="D30" s="37" t="s">
        <v>313</v>
      </c>
      <c r="E30" s="37" t="s">
        <v>851</v>
      </c>
    </row>
    <row r="31" spans="1:5" ht="25.5" x14ac:dyDescent="0.25">
      <c r="A31" s="12" t="s">
        <v>315</v>
      </c>
      <c r="B31" s="10" t="s">
        <v>316</v>
      </c>
      <c r="C31" s="36" t="s">
        <v>83</v>
      </c>
      <c r="D31" s="10" t="s">
        <v>319</v>
      </c>
      <c r="E31" s="10" t="s">
        <v>851</v>
      </c>
    </row>
    <row r="32" spans="1:5" ht="25.5" x14ac:dyDescent="0.25">
      <c r="A32" s="17" t="s">
        <v>321</v>
      </c>
      <c r="B32" s="37" t="s">
        <v>322</v>
      </c>
      <c r="C32" s="36" t="s">
        <v>83</v>
      </c>
      <c r="D32" s="37" t="s">
        <v>327</v>
      </c>
      <c r="E32" s="37" t="s">
        <v>851</v>
      </c>
    </row>
    <row r="33" spans="1:5" ht="25.5" x14ac:dyDescent="0.25">
      <c r="A33" s="12" t="s">
        <v>329</v>
      </c>
      <c r="B33" s="10" t="s">
        <v>330</v>
      </c>
      <c r="C33" s="36" t="s">
        <v>83</v>
      </c>
      <c r="D33" s="10" t="s">
        <v>337</v>
      </c>
      <c r="E33" s="10" t="s">
        <v>851</v>
      </c>
    </row>
    <row r="34" spans="1:5" ht="25.5" x14ac:dyDescent="0.25">
      <c r="A34" s="17" t="s">
        <v>341</v>
      </c>
      <c r="B34" s="37" t="s">
        <v>342</v>
      </c>
      <c r="C34" s="36" t="s">
        <v>83</v>
      </c>
      <c r="D34" s="37" t="s">
        <v>347</v>
      </c>
      <c r="E34" s="37" t="s">
        <v>851</v>
      </c>
    </row>
    <row r="35" spans="1:5" ht="25.5" x14ac:dyDescent="0.25">
      <c r="A35" s="12" t="s">
        <v>350</v>
      </c>
      <c r="B35" s="10" t="s">
        <v>351</v>
      </c>
      <c r="C35" s="36" t="s">
        <v>83</v>
      </c>
      <c r="D35" s="10" t="s">
        <v>356</v>
      </c>
      <c r="E35" s="10" t="s">
        <v>851</v>
      </c>
    </row>
    <row r="36" spans="1:5" ht="25.5" x14ac:dyDescent="0.25">
      <c r="A36" s="17" t="s">
        <v>360</v>
      </c>
      <c r="B36" s="37" t="s">
        <v>361</v>
      </c>
      <c r="C36" s="36" t="s">
        <v>83</v>
      </c>
      <c r="D36" s="37" t="s">
        <v>364</v>
      </c>
      <c r="E36" s="37" t="s">
        <v>851</v>
      </c>
    </row>
    <row r="37" spans="1:5" ht="25.5" x14ac:dyDescent="0.25">
      <c r="A37" s="12" t="s">
        <v>367</v>
      </c>
      <c r="B37" s="10" t="s">
        <v>368</v>
      </c>
      <c r="C37" s="36" t="s">
        <v>83</v>
      </c>
      <c r="D37" s="10" t="s">
        <v>374</v>
      </c>
      <c r="E37" s="10" t="s">
        <v>851</v>
      </c>
    </row>
    <row r="38" spans="1:5" ht="25.5" x14ac:dyDescent="0.25">
      <c r="A38" s="17" t="s">
        <v>376</v>
      </c>
      <c r="B38" s="37" t="s">
        <v>377</v>
      </c>
      <c r="C38" s="36" t="s">
        <v>83</v>
      </c>
      <c r="D38" s="37" t="s">
        <v>382</v>
      </c>
      <c r="E38" s="37" t="s">
        <v>851</v>
      </c>
    </row>
    <row r="39" spans="1:5" ht="25.5" x14ac:dyDescent="0.25">
      <c r="A39" s="12" t="s">
        <v>387</v>
      </c>
      <c r="B39" s="10" t="s">
        <v>388</v>
      </c>
      <c r="C39" s="36" t="s">
        <v>83</v>
      </c>
      <c r="D39" s="10" t="s">
        <v>92</v>
      </c>
      <c r="E39" s="10" t="s">
        <v>851</v>
      </c>
    </row>
    <row r="40" spans="1:5" ht="25.5" x14ac:dyDescent="0.25">
      <c r="A40" s="17" t="s">
        <v>394</v>
      </c>
      <c r="B40" s="37" t="s">
        <v>395</v>
      </c>
      <c r="C40" s="36" t="s">
        <v>83</v>
      </c>
      <c r="D40" s="37" t="s">
        <v>356</v>
      </c>
      <c r="E40" s="37" t="s">
        <v>851</v>
      </c>
    </row>
    <row r="41" spans="1:5" ht="25.5" x14ac:dyDescent="0.25">
      <c r="A41" s="12" t="s">
        <v>402</v>
      </c>
      <c r="B41" s="10" t="s">
        <v>403</v>
      </c>
      <c r="C41" s="36" t="s">
        <v>83</v>
      </c>
      <c r="D41" s="10" t="s">
        <v>319</v>
      </c>
      <c r="E41" s="10" t="s">
        <v>851</v>
      </c>
    </row>
    <row r="42" spans="1:5" ht="25.5" x14ac:dyDescent="0.25">
      <c r="A42" s="17" t="s">
        <v>409</v>
      </c>
      <c r="B42" s="37" t="s">
        <v>410</v>
      </c>
      <c r="C42" s="38" t="s">
        <v>413</v>
      </c>
      <c r="D42" s="37" t="s">
        <v>416</v>
      </c>
      <c r="E42" s="37" t="s">
        <v>851</v>
      </c>
    </row>
    <row r="43" spans="1:5" ht="25.5" x14ac:dyDescent="0.25">
      <c r="A43" s="12" t="s">
        <v>421</v>
      </c>
      <c r="B43" s="10" t="s">
        <v>422</v>
      </c>
      <c r="C43" s="38" t="s">
        <v>413</v>
      </c>
      <c r="D43" s="10" t="s">
        <v>426</v>
      </c>
      <c r="E43" s="10" t="s">
        <v>851</v>
      </c>
    </row>
    <row r="44" spans="1:5" ht="25.5" x14ac:dyDescent="0.25">
      <c r="A44" s="17" t="s">
        <v>429</v>
      </c>
      <c r="B44" s="37" t="s">
        <v>430</v>
      </c>
      <c r="C44" s="38" t="s">
        <v>413</v>
      </c>
      <c r="D44" s="37" t="s">
        <v>433</v>
      </c>
      <c r="E44" s="37" t="s">
        <v>851</v>
      </c>
    </row>
    <row r="45" spans="1:5" ht="25.5" x14ac:dyDescent="0.25">
      <c r="A45" s="12" t="s">
        <v>436</v>
      </c>
      <c r="B45" s="10" t="s">
        <v>437</v>
      </c>
      <c r="C45" s="38" t="s">
        <v>413</v>
      </c>
      <c r="D45" s="10" t="s">
        <v>442</v>
      </c>
      <c r="E45" s="10" t="s">
        <v>851</v>
      </c>
    </row>
    <row r="46" spans="1:5" ht="25.5" x14ac:dyDescent="0.25">
      <c r="A46" s="17" t="s">
        <v>444</v>
      </c>
      <c r="B46" s="37" t="s">
        <v>445</v>
      </c>
      <c r="C46" s="38" t="s">
        <v>413</v>
      </c>
      <c r="D46" s="37" t="s">
        <v>190</v>
      </c>
      <c r="E46" s="37" t="s">
        <v>851</v>
      </c>
    </row>
    <row r="47" spans="1:5" ht="25.5" x14ac:dyDescent="0.25">
      <c r="A47" s="12" t="s">
        <v>451</v>
      </c>
      <c r="B47" s="10" t="s">
        <v>452</v>
      </c>
      <c r="C47" s="38" t="s">
        <v>413</v>
      </c>
      <c r="D47" s="10" t="s">
        <v>457</v>
      </c>
      <c r="E47" s="10" t="s">
        <v>851</v>
      </c>
    </row>
    <row r="48" spans="1:5" ht="25.5" x14ac:dyDescent="0.25">
      <c r="A48" s="17" t="s">
        <v>459</v>
      </c>
      <c r="B48" s="37" t="s">
        <v>460</v>
      </c>
      <c r="C48" s="38" t="s">
        <v>413</v>
      </c>
      <c r="D48" s="37" t="s">
        <v>465</v>
      </c>
      <c r="E48" s="37" t="s">
        <v>851</v>
      </c>
    </row>
    <row r="49" spans="1:5" ht="25.5" x14ac:dyDescent="0.25">
      <c r="A49" s="12" t="s">
        <v>467</v>
      </c>
      <c r="B49" s="10" t="s">
        <v>468</v>
      </c>
      <c r="C49" s="38" t="s">
        <v>413</v>
      </c>
      <c r="D49" s="10" t="s">
        <v>471</v>
      </c>
      <c r="E49" s="10" t="s">
        <v>851</v>
      </c>
    </row>
    <row r="50" spans="1:5" ht="25.5" x14ac:dyDescent="0.25">
      <c r="A50" s="17" t="s">
        <v>473</v>
      </c>
      <c r="B50" s="37" t="s">
        <v>474</v>
      </c>
      <c r="C50" s="39" t="s">
        <v>477</v>
      </c>
      <c r="D50" s="37" t="s">
        <v>480</v>
      </c>
      <c r="E50" s="37" t="s">
        <v>851</v>
      </c>
    </row>
    <row r="51" spans="1:5" ht="25.5" x14ac:dyDescent="0.25">
      <c r="A51" s="12" t="s">
        <v>484</v>
      </c>
      <c r="B51" s="10" t="s">
        <v>485</v>
      </c>
      <c r="C51" s="39" t="s">
        <v>477</v>
      </c>
      <c r="D51" s="10" t="s">
        <v>480</v>
      </c>
      <c r="E51" s="10" t="s">
        <v>851</v>
      </c>
    </row>
    <row r="52" spans="1:5" ht="25.5" x14ac:dyDescent="0.25">
      <c r="A52" s="17" t="s">
        <v>490</v>
      </c>
      <c r="B52" s="37" t="s">
        <v>491</v>
      </c>
      <c r="C52" s="39" t="s">
        <v>477</v>
      </c>
      <c r="D52" s="37" t="s">
        <v>480</v>
      </c>
      <c r="E52" s="37" t="s">
        <v>851</v>
      </c>
    </row>
    <row r="53" spans="1:5" ht="25.5" x14ac:dyDescent="0.25">
      <c r="A53" s="12" t="s">
        <v>496</v>
      </c>
      <c r="B53" s="10" t="s">
        <v>497</v>
      </c>
      <c r="C53" s="39" t="s">
        <v>477</v>
      </c>
      <c r="D53" s="10" t="s">
        <v>500</v>
      </c>
      <c r="E53" s="10" t="s">
        <v>851</v>
      </c>
    </row>
    <row r="54" spans="1:5" ht="25.5" x14ac:dyDescent="0.25">
      <c r="A54" s="17" t="s">
        <v>502</v>
      </c>
      <c r="B54" s="37" t="s">
        <v>503</v>
      </c>
      <c r="C54" s="39" t="s">
        <v>477</v>
      </c>
      <c r="D54" s="37" t="s">
        <v>507</v>
      </c>
      <c r="E54" s="37" t="s">
        <v>851</v>
      </c>
    </row>
    <row r="55" spans="1:5" ht="25.5" x14ac:dyDescent="0.25">
      <c r="A55" s="12" t="s">
        <v>509</v>
      </c>
      <c r="B55" s="10" t="s">
        <v>510</v>
      </c>
      <c r="C55" s="39" t="s">
        <v>477</v>
      </c>
      <c r="D55" s="10" t="s">
        <v>480</v>
      </c>
      <c r="E55" s="10" t="s">
        <v>851</v>
      </c>
    </row>
    <row r="56" spans="1:5" ht="25.5" x14ac:dyDescent="0.25">
      <c r="A56" s="17" t="s">
        <v>513</v>
      </c>
      <c r="B56" s="37" t="s">
        <v>514</v>
      </c>
      <c r="C56" s="39" t="s">
        <v>477</v>
      </c>
      <c r="D56" s="37" t="s">
        <v>518</v>
      </c>
      <c r="E56" s="37" t="s">
        <v>851</v>
      </c>
    </row>
    <row r="57" spans="1:5" ht="25.5" x14ac:dyDescent="0.25">
      <c r="A57" s="12" t="s">
        <v>520</v>
      </c>
      <c r="B57" s="10" t="s">
        <v>521</v>
      </c>
      <c r="C57" s="39" t="s">
        <v>477</v>
      </c>
      <c r="D57" s="10" t="s">
        <v>525</v>
      </c>
      <c r="E57" s="10" t="s">
        <v>851</v>
      </c>
    </row>
    <row r="58" spans="1:5" ht="25.5" x14ac:dyDescent="0.25">
      <c r="A58" s="17" t="s">
        <v>527</v>
      </c>
      <c r="B58" s="37" t="s">
        <v>528</v>
      </c>
      <c r="C58" s="39" t="s">
        <v>477</v>
      </c>
      <c r="D58" s="37" t="s">
        <v>480</v>
      </c>
      <c r="E58" s="37" t="s">
        <v>851</v>
      </c>
    </row>
    <row r="59" spans="1:5" ht="25.5" x14ac:dyDescent="0.25">
      <c r="A59" s="12" t="s">
        <v>532</v>
      </c>
      <c r="B59" s="10" t="s">
        <v>533</v>
      </c>
      <c r="C59" s="39" t="s">
        <v>477</v>
      </c>
      <c r="D59" s="10" t="s">
        <v>538</v>
      </c>
      <c r="E59" s="10" t="s">
        <v>851</v>
      </c>
    </row>
    <row r="60" spans="1:5" ht="25.5" x14ac:dyDescent="0.25">
      <c r="A60" s="17" t="s">
        <v>540</v>
      </c>
      <c r="B60" s="37" t="s">
        <v>541</v>
      </c>
      <c r="C60" s="39" t="s">
        <v>477</v>
      </c>
      <c r="D60" s="37" t="s">
        <v>544</v>
      </c>
      <c r="E60" s="37" t="s">
        <v>851</v>
      </c>
    </row>
    <row r="61" spans="1:5" ht="25.5" x14ac:dyDescent="0.25">
      <c r="A61" s="12" t="s">
        <v>546</v>
      </c>
      <c r="B61" s="10" t="s">
        <v>547</v>
      </c>
      <c r="C61" s="39" t="s">
        <v>477</v>
      </c>
      <c r="D61" s="10" t="s">
        <v>525</v>
      </c>
      <c r="E61" s="10" t="s">
        <v>851</v>
      </c>
    </row>
    <row r="62" spans="1:5" ht="25.5" x14ac:dyDescent="0.25">
      <c r="A62" s="17" t="s">
        <v>550</v>
      </c>
      <c r="B62" s="37" t="s">
        <v>551</v>
      </c>
      <c r="C62" s="39" t="s">
        <v>477</v>
      </c>
      <c r="D62" s="37" t="s">
        <v>538</v>
      </c>
      <c r="E62" s="37" t="s">
        <v>851</v>
      </c>
    </row>
    <row r="63" spans="1:5" ht="25.5" x14ac:dyDescent="0.25">
      <c r="A63" s="12" t="s">
        <v>555</v>
      </c>
      <c r="B63" s="10" t="s">
        <v>556</v>
      </c>
      <c r="C63" s="39" t="s">
        <v>477</v>
      </c>
      <c r="D63" s="10" t="s">
        <v>559</v>
      </c>
      <c r="E63" s="10" t="s">
        <v>851</v>
      </c>
    </row>
    <row r="64" spans="1:5" ht="25.5" x14ac:dyDescent="0.25">
      <c r="A64" s="17" t="s">
        <v>562</v>
      </c>
      <c r="B64" s="37" t="s">
        <v>563</v>
      </c>
      <c r="C64" s="40" t="s">
        <v>566</v>
      </c>
      <c r="D64" s="37" t="s">
        <v>568</v>
      </c>
      <c r="E64" s="37" t="s">
        <v>851</v>
      </c>
    </row>
    <row r="65" spans="1:5" ht="25.5" x14ac:dyDescent="0.25">
      <c r="A65" s="12" t="s">
        <v>570</v>
      </c>
      <c r="B65" s="10" t="s">
        <v>571</v>
      </c>
      <c r="C65" s="40" t="s">
        <v>566</v>
      </c>
      <c r="D65" s="10" t="s">
        <v>575</v>
      </c>
      <c r="E65" s="10" t="s">
        <v>851</v>
      </c>
    </row>
    <row r="66" spans="1:5" ht="25.5" x14ac:dyDescent="0.25">
      <c r="A66" s="17" t="s">
        <v>577</v>
      </c>
      <c r="B66" s="37" t="s">
        <v>578</v>
      </c>
      <c r="C66" s="40" t="s">
        <v>566</v>
      </c>
      <c r="D66" s="37" t="s">
        <v>581</v>
      </c>
      <c r="E66" s="37" t="s">
        <v>851</v>
      </c>
    </row>
    <row r="67" spans="1:5" ht="25.5" x14ac:dyDescent="0.25">
      <c r="A67" s="12" t="s">
        <v>583</v>
      </c>
      <c r="B67" s="10" t="s">
        <v>584</v>
      </c>
      <c r="C67" s="40" t="s">
        <v>566</v>
      </c>
      <c r="D67" s="10" t="s">
        <v>575</v>
      </c>
      <c r="E67" s="10" t="s">
        <v>851</v>
      </c>
    </row>
    <row r="68" spans="1:5" ht="25.5" x14ac:dyDescent="0.25">
      <c r="A68" s="17" t="s">
        <v>590</v>
      </c>
      <c r="B68" s="37" t="s">
        <v>591</v>
      </c>
      <c r="C68" s="40" t="s">
        <v>566</v>
      </c>
      <c r="D68" s="37" t="s">
        <v>594</v>
      </c>
      <c r="E68" s="37" t="s">
        <v>851</v>
      </c>
    </row>
    <row r="69" spans="1:5" ht="25.5" x14ac:dyDescent="0.25">
      <c r="A69" s="12" t="s">
        <v>596</v>
      </c>
      <c r="B69" s="10" t="s">
        <v>597</v>
      </c>
      <c r="C69" s="40" t="s">
        <v>566</v>
      </c>
      <c r="D69" s="10" t="s">
        <v>603</v>
      </c>
      <c r="E69" s="10" t="s">
        <v>851</v>
      </c>
    </row>
    <row r="70" spans="1:5" ht="25.5" x14ac:dyDescent="0.25">
      <c r="A70" s="17" t="s">
        <v>605</v>
      </c>
      <c r="B70" s="37" t="s">
        <v>606</v>
      </c>
      <c r="C70" s="40" t="s">
        <v>566</v>
      </c>
      <c r="D70" s="37" t="s">
        <v>611</v>
      </c>
      <c r="E70" s="37" t="s">
        <v>851</v>
      </c>
    </row>
    <row r="71" spans="1:5" ht="25.5" x14ac:dyDescent="0.25">
      <c r="A71" s="12" t="s">
        <v>614</v>
      </c>
      <c r="B71" s="10" t="s">
        <v>615</v>
      </c>
      <c r="C71" s="40" t="s">
        <v>566</v>
      </c>
      <c r="D71" s="10" t="s">
        <v>619</v>
      </c>
      <c r="E71" s="10" t="s">
        <v>851</v>
      </c>
    </row>
    <row r="72" spans="1:5" ht="25.5" x14ac:dyDescent="0.25">
      <c r="A72" s="17" t="s">
        <v>622</v>
      </c>
      <c r="B72" s="37" t="s">
        <v>623</v>
      </c>
      <c r="C72" s="40" t="s">
        <v>566</v>
      </c>
      <c r="D72" s="37" t="s">
        <v>628</v>
      </c>
      <c r="E72" s="37" t="s">
        <v>851</v>
      </c>
    </row>
    <row r="73" spans="1:5" ht="25.5" x14ac:dyDescent="0.25">
      <c r="A73" s="12" t="s">
        <v>631</v>
      </c>
      <c r="B73" s="10" t="s">
        <v>632</v>
      </c>
      <c r="C73" s="40" t="s">
        <v>566</v>
      </c>
      <c r="D73" s="10" t="s">
        <v>636</v>
      </c>
      <c r="E73" s="10" t="s">
        <v>851</v>
      </c>
    </row>
    <row r="74" spans="1:5" ht="25.5" x14ac:dyDescent="0.25">
      <c r="A74" s="17" t="s">
        <v>638</v>
      </c>
      <c r="B74" s="37" t="s">
        <v>639</v>
      </c>
      <c r="C74" s="40" t="s">
        <v>566</v>
      </c>
      <c r="D74" s="37" t="s">
        <v>642</v>
      </c>
      <c r="E74" s="37" t="s">
        <v>851</v>
      </c>
    </row>
    <row r="75" spans="1:5" ht="25.5" x14ac:dyDescent="0.25">
      <c r="A75" s="12" t="s">
        <v>645</v>
      </c>
      <c r="B75" s="10" t="s">
        <v>646</v>
      </c>
      <c r="C75" s="40" t="s">
        <v>566</v>
      </c>
      <c r="D75" s="10" t="s">
        <v>649</v>
      </c>
      <c r="E75" s="10" t="s">
        <v>851</v>
      </c>
    </row>
    <row r="76" spans="1:5" ht="25.5" x14ac:dyDescent="0.25">
      <c r="A76" s="17" t="s">
        <v>651</v>
      </c>
      <c r="B76" s="37" t="s">
        <v>652</v>
      </c>
      <c r="C76" s="40" t="s">
        <v>566</v>
      </c>
      <c r="D76" s="37" t="s">
        <v>658</v>
      </c>
      <c r="E76" s="37" t="s">
        <v>851</v>
      </c>
    </row>
    <row r="77" spans="1:5" ht="25.5" x14ac:dyDescent="0.25">
      <c r="A77" s="12" t="s">
        <v>662</v>
      </c>
      <c r="B77" s="10" t="s">
        <v>663</v>
      </c>
      <c r="C77" s="40" t="s">
        <v>566</v>
      </c>
      <c r="D77" s="10" t="s">
        <v>305</v>
      </c>
      <c r="E77" s="10" t="s">
        <v>851</v>
      </c>
    </row>
    <row r="78" spans="1:5" ht="25.5" x14ac:dyDescent="0.25">
      <c r="A78" s="17" t="s">
        <v>667</v>
      </c>
      <c r="B78" s="37" t="s">
        <v>668</v>
      </c>
      <c r="C78" s="40" t="s">
        <v>566</v>
      </c>
      <c r="D78" s="37" t="s">
        <v>673</v>
      </c>
      <c r="E78" s="37" t="s">
        <v>851</v>
      </c>
    </row>
    <row r="79" spans="1:5" ht="25.5" x14ac:dyDescent="0.25">
      <c r="A79" s="12" t="s">
        <v>677</v>
      </c>
      <c r="B79" s="10" t="s">
        <v>678</v>
      </c>
      <c r="C79" s="40" t="s">
        <v>566</v>
      </c>
      <c r="D79" s="10" t="s">
        <v>681</v>
      </c>
      <c r="E79" s="10" t="s">
        <v>851</v>
      </c>
    </row>
    <row r="80" spans="1:5" ht="25.5" x14ac:dyDescent="0.25">
      <c r="A80" s="17" t="s">
        <v>684</v>
      </c>
      <c r="B80" s="37" t="s">
        <v>685</v>
      </c>
      <c r="C80" s="40" t="s">
        <v>566</v>
      </c>
      <c r="D80" s="37" t="s">
        <v>673</v>
      </c>
      <c r="E80" s="37" t="s">
        <v>851</v>
      </c>
    </row>
    <row r="81" spans="1:5" ht="25.5" x14ac:dyDescent="0.25">
      <c r="A81" s="12" t="s">
        <v>691</v>
      </c>
      <c r="B81" s="10" t="s">
        <v>692</v>
      </c>
      <c r="C81" s="40" t="s">
        <v>566</v>
      </c>
      <c r="D81" s="10" t="s">
        <v>696</v>
      </c>
      <c r="E81" s="10" t="s">
        <v>851</v>
      </c>
    </row>
    <row r="82" spans="1:5" ht="25.5" x14ac:dyDescent="0.25">
      <c r="A82" s="17" t="s">
        <v>698</v>
      </c>
      <c r="B82" s="37" t="s">
        <v>699</v>
      </c>
      <c r="C82" s="40" t="s">
        <v>566</v>
      </c>
      <c r="D82" s="37" t="s">
        <v>704</v>
      </c>
      <c r="E82" s="37" t="s">
        <v>851</v>
      </c>
    </row>
    <row r="83" spans="1:5" ht="25.5" x14ac:dyDescent="0.25">
      <c r="A83" s="12" t="s">
        <v>706</v>
      </c>
      <c r="B83" s="10" t="s">
        <v>707</v>
      </c>
      <c r="C83" s="40" t="s">
        <v>566</v>
      </c>
      <c r="D83" s="10" t="s">
        <v>712</v>
      </c>
      <c r="E83" s="10" t="s">
        <v>851</v>
      </c>
    </row>
    <row r="84" spans="1:5" ht="25.5" x14ac:dyDescent="0.25">
      <c r="A84" s="17" t="s">
        <v>716</v>
      </c>
      <c r="B84" s="37" t="s">
        <v>717</v>
      </c>
      <c r="C84" s="40" t="s">
        <v>566</v>
      </c>
      <c r="D84" s="37" t="s">
        <v>720</v>
      </c>
      <c r="E84" s="37" t="s">
        <v>851</v>
      </c>
    </row>
    <row r="85" spans="1:5" ht="25.5" x14ac:dyDescent="0.25">
      <c r="A85" s="12" t="s">
        <v>721</v>
      </c>
      <c r="B85" s="10" t="s">
        <v>722</v>
      </c>
      <c r="C85" s="40" t="s">
        <v>566</v>
      </c>
      <c r="D85" s="10" t="s">
        <v>725</v>
      </c>
      <c r="E85" s="10" t="s">
        <v>851</v>
      </c>
    </row>
    <row r="86" spans="1:5" ht="25.5" x14ac:dyDescent="0.25">
      <c r="A86" s="17" t="s">
        <v>728</v>
      </c>
      <c r="B86" s="37" t="s">
        <v>729</v>
      </c>
      <c r="C86" s="40" t="s">
        <v>566</v>
      </c>
      <c r="D86" s="37" t="s">
        <v>733</v>
      </c>
      <c r="E86" s="37" t="s">
        <v>851</v>
      </c>
    </row>
    <row r="87" spans="1:5" ht="25.5" x14ac:dyDescent="0.25">
      <c r="A87" s="12" t="s">
        <v>736</v>
      </c>
      <c r="B87" s="10" t="s">
        <v>737</v>
      </c>
      <c r="C87" s="40" t="s">
        <v>566</v>
      </c>
      <c r="D87" s="10" t="s">
        <v>742</v>
      </c>
      <c r="E87" s="10" t="s">
        <v>851</v>
      </c>
    </row>
    <row r="88" spans="1:5" ht="25.5" x14ac:dyDescent="0.25">
      <c r="A88" s="17" t="s">
        <v>745</v>
      </c>
      <c r="B88" s="37" t="s">
        <v>746</v>
      </c>
      <c r="C88" s="40" t="s">
        <v>566</v>
      </c>
      <c r="D88" s="37" t="s">
        <v>750</v>
      </c>
      <c r="E88" s="37" t="s">
        <v>851</v>
      </c>
    </row>
    <row r="89" spans="1:5" ht="25.5" x14ac:dyDescent="0.25">
      <c r="A89" s="12" t="s">
        <v>753</v>
      </c>
      <c r="B89" s="10" t="s">
        <v>754</v>
      </c>
      <c r="C89" s="40" t="s">
        <v>566</v>
      </c>
      <c r="D89" s="10" t="s">
        <v>758</v>
      </c>
      <c r="E89" s="10" t="s">
        <v>851</v>
      </c>
    </row>
    <row r="90" spans="1:5" ht="25.5" x14ac:dyDescent="0.25">
      <c r="A90" s="17" t="s">
        <v>761</v>
      </c>
      <c r="B90" s="37" t="s">
        <v>762</v>
      </c>
      <c r="C90" s="40" t="s">
        <v>566</v>
      </c>
      <c r="D90" s="37" t="s">
        <v>767</v>
      </c>
      <c r="E90" s="37" t="s">
        <v>851</v>
      </c>
    </row>
    <row r="91" spans="1:5" ht="25.5" x14ac:dyDescent="0.25">
      <c r="A91" s="12" t="s">
        <v>769</v>
      </c>
      <c r="B91" s="10" t="s">
        <v>770</v>
      </c>
      <c r="C91" s="40" t="s">
        <v>566</v>
      </c>
      <c r="D91" s="10" t="s">
        <v>774</v>
      </c>
      <c r="E91" s="10" t="s">
        <v>851</v>
      </c>
    </row>
    <row r="92" spans="1:5" ht="25.5" x14ac:dyDescent="0.25">
      <c r="A92" s="17" t="s">
        <v>777</v>
      </c>
      <c r="B92" s="37" t="s">
        <v>778</v>
      </c>
      <c r="C92" s="40" t="s">
        <v>566</v>
      </c>
      <c r="D92" s="37" t="s">
        <v>783</v>
      </c>
      <c r="E92" s="37" t="s">
        <v>851</v>
      </c>
    </row>
    <row r="93" spans="1:5" ht="25.5" x14ac:dyDescent="0.25">
      <c r="A93" s="12" t="s">
        <v>786</v>
      </c>
      <c r="B93" s="10" t="s">
        <v>787</v>
      </c>
      <c r="C93" s="40" t="s">
        <v>566</v>
      </c>
      <c r="D93" s="10" t="s">
        <v>792</v>
      </c>
      <c r="E93" s="10" t="s">
        <v>851</v>
      </c>
    </row>
    <row r="94" spans="1:5" ht="25.5" x14ac:dyDescent="0.25">
      <c r="A94" s="17" t="s">
        <v>795</v>
      </c>
      <c r="B94" s="37" t="s">
        <v>796</v>
      </c>
      <c r="C94" s="40" t="s">
        <v>566</v>
      </c>
      <c r="D94" s="37" t="s">
        <v>161</v>
      </c>
      <c r="E94" s="37" t="s">
        <v>851</v>
      </c>
    </row>
    <row r="95" spans="1:5" ht="25.5" x14ac:dyDescent="0.25">
      <c r="A95" s="12" t="s">
        <v>801</v>
      </c>
      <c r="B95" s="10" t="s">
        <v>802</v>
      </c>
      <c r="C95" s="40" t="s">
        <v>566</v>
      </c>
      <c r="D95" s="10" t="s">
        <v>805</v>
      </c>
      <c r="E95" s="10" t="s">
        <v>851</v>
      </c>
    </row>
    <row r="96" spans="1:5" ht="25.5" x14ac:dyDescent="0.25">
      <c r="A96" s="17" t="s">
        <v>807</v>
      </c>
      <c r="B96" s="37" t="s">
        <v>808</v>
      </c>
      <c r="C96" s="40" t="s">
        <v>566</v>
      </c>
      <c r="D96" s="37" t="s">
        <v>812</v>
      </c>
      <c r="E96" s="37" t="s">
        <v>851</v>
      </c>
    </row>
    <row r="97" spans="1:5" ht="25.5" x14ac:dyDescent="0.25">
      <c r="A97" s="12" t="s">
        <v>814</v>
      </c>
      <c r="B97" s="10" t="s">
        <v>815</v>
      </c>
      <c r="C97" s="40" t="s">
        <v>566</v>
      </c>
      <c r="D97" s="10" t="s">
        <v>673</v>
      </c>
      <c r="E97" s="10" t="s">
        <v>851</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Views>
    <sheetView showGridLines="0" zoomScaleNormal="100" workbookViewId="0">
      <selection activeCell="D17" sqref="D17"/>
    </sheetView>
  </sheetViews>
  <sheetFormatPr defaultColWidth="8.7109375" defaultRowHeight="15" x14ac:dyDescent="0.25"/>
  <cols>
    <col min="1" max="1" width="14" customWidth="1"/>
    <col min="2" max="2" width="9" customWidth="1"/>
    <col min="3" max="3" width="22" customWidth="1"/>
    <col min="4" max="4" width="61.42578125" customWidth="1"/>
    <col min="5" max="5" width="45.7109375" customWidth="1"/>
    <col min="6" max="6" width="22" customWidth="1"/>
  </cols>
  <sheetData>
    <row r="1" spans="1:6" ht="27.75" customHeight="1" x14ac:dyDescent="0.25">
      <c r="A1" s="2" t="s">
        <v>853</v>
      </c>
      <c r="B1" s="2"/>
      <c r="C1" s="2"/>
      <c r="D1" s="2"/>
      <c r="E1" s="2"/>
      <c r="F1" s="2"/>
    </row>
    <row r="2" spans="1:6" ht="15" customHeight="1" x14ac:dyDescent="0.25">
      <c r="A2" s="1" t="s">
        <v>854</v>
      </c>
      <c r="B2" s="1"/>
      <c r="C2" s="1"/>
      <c r="D2" s="1"/>
      <c r="E2" s="1"/>
      <c r="F2" s="1"/>
    </row>
    <row r="4" spans="1:6" x14ac:dyDescent="0.25">
      <c r="A4" s="11" t="s">
        <v>855</v>
      </c>
      <c r="B4" s="11" t="s">
        <v>38</v>
      </c>
      <c r="C4" s="11" t="s">
        <v>856</v>
      </c>
      <c r="D4" s="11" t="s">
        <v>857</v>
      </c>
      <c r="E4" s="11" t="s">
        <v>858</v>
      </c>
      <c r="F4" s="11" t="s">
        <v>859</v>
      </c>
    </row>
    <row r="5" spans="1:6" ht="30" customHeight="1" x14ac:dyDescent="0.25">
      <c r="A5" s="54">
        <v>46127</v>
      </c>
      <c r="B5" s="12" t="s">
        <v>860</v>
      </c>
      <c r="C5" s="12" t="s">
        <v>861</v>
      </c>
      <c r="D5" s="10" t="s">
        <v>862</v>
      </c>
      <c r="E5" s="10" t="s">
        <v>863</v>
      </c>
      <c r="F5" s="12" t="s">
        <v>864</v>
      </c>
    </row>
    <row r="6" spans="1:6" ht="30" customHeight="1" x14ac:dyDescent="0.25">
      <c r="A6" s="54">
        <v>46127</v>
      </c>
      <c r="B6" s="12" t="s">
        <v>860</v>
      </c>
      <c r="C6" s="12" t="s">
        <v>865</v>
      </c>
      <c r="D6" s="10" t="s">
        <v>866</v>
      </c>
      <c r="E6" s="10" t="s">
        <v>867</v>
      </c>
      <c r="F6" s="12" t="s">
        <v>90</v>
      </c>
    </row>
    <row r="7" spans="1:6" ht="24" customHeight="1" x14ac:dyDescent="0.25">
      <c r="A7" s="41"/>
      <c r="B7" s="41"/>
      <c r="C7" s="41"/>
      <c r="D7" s="41"/>
      <c r="E7" s="41"/>
      <c r="F7" s="41"/>
    </row>
    <row r="8" spans="1:6" ht="24" customHeight="1" x14ac:dyDescent="0.25">
      <c r="A8" s="41"/>
      <c r="B8" s="41"/>
      <c r="C8" s="41"/>
      <c r="D8" s="41"/>
      <c r="E8" s="41"/>
      <c r="F8" s="41"/>
    </row>
    <row r="9" spans="1:6" ht="24" customHeight="1" x14ac:dyDescent="0.25">
      <c r="A9" s="41"/>
      <c r="B9" s="41"/>
      <c r="C9" s="41"/>
      <c r="D9" s="41"/>
      <c r="E9" s="41"/>
      <c r="F9" s="41"/>
    </row>
    <row r="10" spans="1:6" ht="24" customHeight="1" x14ac:dyDescent="0.25">
      <c r="A10" s="41"/>
      <c r="B10" s="41"/>
      <c r="C10" s="41"/>
      <c r="D10" s="41"/>
      <c r="E10" s="41"/>
      <c r="F10" s="41"/>
    </row>
    <row r="11" spans="1:6" ht="24" customHeight="1" x14ac:dyDescent="0.25">
      <c r="A11" s="41"/>
      <c r="B11" s="41"/>
      <c r="C11" s="41"/>
      <c r="D11" s="41"/>
      <c r="E11" s="41"/>
      <c r="F11" s="41"/>
    </row>
    <row r="12" spans="1:6" ht="24" customHeight="1" x14ac:dyDescent="0.25">
      <c r="A12" s="41"/>
      <c r="B12" s="41"/>
      <c r="C12" s="41"/>
      <c r="D12" s="41"/>
      <c r="E12" s="41"/>
      <c r="F12" s="41"/>
    </row>
    <row r="13" spans="1:6" ht="24" customHeight="1" x14ac:dyDescent="0.25">
      <c r="A13" s="41"/>
      <c r="B13" s="41"/>
      <c r="C13" s="41"/>
      <c r="D13" s="41"/>
      <c r="E13" s="41"/>
      <c r="F13" s="41"/>
    </row>
    <row r="14" spans="1:6" ht="24" customHeight="1" x14ac:dyDescent="0.25">
      <c r="A14" s="41"/>
      <c r="B14" s="41"/>
      <c r="C14" s="41"/>
      <c r="D14" s="41"/>
      <c r="E14" s="41"/>
      <c r="F14" s="41"/>
    </row>
    <row r="15" spans="1:6" ht="24" customHeight="1" x14ac:dyDescent="0.25">
      <c r="A15" s="41"/>
      <c r="B15" s="41"/>
      <c r="C15" s="41"/>
      <c r="D15" s="41"/>
      <c r="E15" s="41"/>
      <c r="F15" s="41"/>
    </row>
    <row r="16" spans="1:6" ht="24" customHeight="1" x14ac:dyDescent="0.25">
      <c r="A16" s="41"/>
      <c r="B16" s="41"/>
      <c r="C16" s="41"/>
      <c r="D16" s="41"/>
      <c r="E16" s="41"/>
      <c r="F16" s="41"/>
    </row>
    <row r="17" spans="1:6" ht="24" customHeight="1" x14ac:dyDescent="0.25">
      <c r="A17" s="41"/>
      <c r="B17" s="41"/>
      <c r="C17" s="41"/>
      <c r="D17" s="41"/>
      <c r="E17" s="41"/>
      <c r="F17" s="41"/>
    </row>
    <row r="18" spans="1:6" ht="24" customHeight="1" x14ac:dyDescent="0.25">
      <c r="A18" s="41"/>
      <c r="B18" s="41"/>
      <c r="C18" s="41"/>
      <c r="D18" s="41"/>
      <c r="E18" s="41"/>
      <c r="F18" s="41"/>
    </row>
    <row r="19" spans="1:6" ht="24" customHeight="1" x14ac:dyDescent="0.25">
      <c r="A19" s="41"/>
      <c r="B19" s="41"/>
      <c r="C19" s="41"/>
      <c r="D19" s="41"/>
      <c r="E19" s="41"/>
      <c r="F19" s="41"/>
    </row>
    <row r="20" spans="1:6" ht="24" customHeight="1" x14ac:dyDescent="0.25">
      <c r="A20" s="41"/>
      <c r="B20" s="41"/>
      <c r="C20" s="41"/>
      <c r="D20" s="41"/>
      <c r="E20" s="41"/>
      <c r="F20" s="41"/>
    </row>
    <row r="21" spans="1:6" ht="24" customHeight="1" x14ac:dyDescent="0.25">
      <c r="A21" s="41"/>
      <c r="B21" s="41"/>
      <c r="C21" s="41"/>
      <c r="D21" s="41"/>
      <c r="E21" s="41"/>
      <c r="F21" s="41"/>
    </row>
    <row r="22" spans="1:6" ht="24" customHeight="1" x14ac:dyDescent="0.25">
      <c r="A22" s="41"/>
      <c r="B22" s="41"/>
      <c r="C22" s="41"/>
      <c r="D22" s="41"/>
      <c r="E22" s="41"/>
      <c r="F22" s="41"/>
    </row>
    <row r="23" spans="1:6" ht="24" customHeight="1" x14ac:dyDescent="0.25">
      <c r="A23" s="41"/>
      <c r="B23" s="41"/>
      <c r="C23" s="41"/>
      <c r="D23" s="41"/>
      <c r="E23" s="41"/>
      <c r="F23" s="41"/>
    </row>
    <row r="24" spans="1:6" ht="24" customHeight="1" x14ac:dyDescent="0.25">
      <c r="A24" s="41"/>
      <c r="B24" s="41"/>
      <c r="C24" s="41"/>
      <c r="D24" s="41"/>
      <c r="E24" s="41"/>
      <c r="F24" s="41"/>
    </row>
    <row r="25" spans="1:6" ht="24" customHeight="1" x14ac:dyDescent="0.25">
      <c r="A25" s="41"/>
      <c r="B25" s="41"/>
      <c r="C25" s="41"/>
      <c r="D25" s="41"/>
      <c r="E25" s="41"/>
      <c r="F25" s="41"/>
    </row>
    <row r="26" spans="1:6" ht="24" customHeight="1" x14ac:dyDescent="0.25">
      <c r="A26" s="41"/>
      <c r="B26" s="41"/>
      <c r="C26" s="41"/>
      <c r="D26" s="41"/>
      <c r="E26" s="41"/>
      <c r="F26" s="41"/>
    </row>
    <row r="27" spans="1:6" ht="24" customHeight="1" x14ac:dyDescent="0.25">
      <c r="A27" s="41"/>
      <c r="B27" s="41"/>
      <c r="C27" s="41"/>
      <c r="D27" s="41"/>
      <c r="E27" s="41"/>
      <c r="F27" s="41"/>
    </row>
    <row r="28" spans="1:6" ht="24" customHeight="1" x14ac:dyDescent="0.25">
      <c r="A28" s="41"/>
      <c r="B28" s="41"/>
      <c r="C28" s="41"/>
      <c r="D28" s="41"/>
      <c r="E28" s="41"/>
      <c r="F28" s="41"/>
    </row>
    <row r="29" spans="1:6" ht="24" customHeight="1" x14ac:dyDescent="0.25">
      <c r="A29" s="41"/>
      <c r="B29" s="41"/>
      <c r="C29" s="41"/>
      <c r="D29" s="41"/>
      <c r="E29" s="41"/>
      <c r="F29" s="41"/>
    </row>
    <row r="30" spans="1:6" ht="24" customHeight="1" x14ac:dyDescent="0.25">
      <c r="A30" s="41"/>
      <c r="B30" s="41"/>
      <c r="C30" s="41"/>
      <c r="D30" s="41"/>
      <c r="E30" s="41"/>
      <c r="F30" s="41"/>
    </row>
    <row r="31" spans="1:6" ht="24" customHeight="1" x14ac:dyDescent="0.25">
      <c r="A31" s="41"/>
      <c r="B31" s="41"/>
      <c r="C31" s="41"/>
      <c r="D31" s="41"/>
      <c r="E31" s="41"/>
      <c r="F31" s="41"/>
    </row>
    <row r="32" spans="1:6" ht="24" customHeight="1" x14ac:dyDescent="0.25">
      <c r="A32" s="41"/>
      <c r="B32" s="41"/>
      <c r="C32" s="41"/>
      <c r="D32" s="41"/>
      <c r="E32" s="41"/>
      <c r="F32" s="41"/>
    </row>
    <row r="33" spans="1:6" ht="24" customHeight="1" x14ac:dyDescent="0.25">
      <c r="A33" s="41"/>
      <c r="B33" s="41"/>
      <c r="C33" s="41"/>
      <c r="D33" s="41"/>
      <c r="E33" s="41"/>
      <c r="F33" s="41"/>
    </row>
    <row r="34" spans="1:6" ht="24" customHeight="1" x14ac:dyDescent="0.25">
      <c r="A34" s="41"/>
      <c r="B34" s="41"/>
      <c r="C34" s="41"/>
      <c r="D34" s="41"/>
      <c r="E34" s="41"/>
      <c r="F34" s="41"/>
    </row>
    <row r="35" spans="1:6" ht="24" customHeight="1" x14ac:dyDescent="0.25">
      <c r="A35" s="41"/>
      <c r="B35" s="41"/>
      <c r="C35" s="41"/>
      <c r="D35" s="41"/>
      <c r="E35" s="41"/>
      <c r="F35" s="41"/>
    </row>
    <row r="36" spans="1:6" ht="24" customHeight="1" x14ac:dyDescent="0.25">
      <c r="A36" s="41"/>
      <c r="B36" s="41"/>
      <c r="C36" s="41"/>
      <c r="D36" s="41"/>
      <c r="E36" s="41"/>
      <c r="F36" s="41"/>
    </row>
    <row r="37" spans="1:6" ht="24" customHeight="1" x14ac:dyDescent="0.25">
      <c r="A37" s="41"/>
      <c r="B37" s="41"/>
      <c r="C37" s="41"/>
      <c r="D37" s="41"/>
      <c r="E37" s="41"/>
      <c r="F37" s="41"/>
    </row>
    <row r="38" spans="1:6" ht="24" customHeight="1" x14ac:dyDescent="0.25">
      <c r="A38" s="41"/>
      <c r="B38" s="41"/>
      <c r="C38" s="41"/>
      <c r="D38" s="41"/>
      <c r="E38" s="41"/>
      <c r="F38" s="41"/>
    </row>
    <row r="39" spans="1:6" ht="24" customHeight="1" x14ac:dyDescent="0.25">
      <c r="A39" s="41"/>
      <c r="B39" s="41"/>
      <c r="C39" s="41"/>
      <c r="D39" s="41"/>
      <c r="E39" s="41"/>
      <c r="F39" s="41"/>
    </row>
    <row r="40" spans="1:6" ht="24" customHeight="1" x14ac:dyDescent="0.25">
      <c r="A40" s="41"/>
      <c r="B40" s="41"/>
      <c r="C40" s="41"/>
      <c r="D40" s="41"/>
      <c r="E40" s="41"/>
      <c r="F40" s="41"/>
    </row>
    <row r="41" spans="1:6" ht="24" customHeight="1" x14ac:dyDescent="0.25">
      <c r="A41" s="41"/>
      <c r="B41" s="41"/>
      <c r="C41" s="41"/>
      <c r="D41" s="41"/>
      <c r="E41" s="41"/>
      <c r="F41" s="41"/>
    </row>
    <row r="42" spans="1:6" ht="24" customHeight="1" x14ac:dyDescent="0.25">
      <c r="A42" s="41"/>
      <c r="B42" s="41"/>
      <c r="C42" s="41"/>
      <c r="D42" s="41"/>
      <c r="E42" s="41"/>
      <c r="F42" s="41"/>
    </row>
    <row r="43" spans="1:6" ht="24" customHeight="1" x14ac:dyDescent="0.25">
      <c r="A43" s="41"/>
      <c r="B43" s="41"/>
      <c r="C43" s="41"/>
      <c r="D43" s="41"/>
      <c r="E43" s="41"/>
      <c r="F43" s="41"/>
    </row>
    <row r="44" spans="1:6" ht="24" customHeight="1" x14ac:dyDescent="0.25">
      <c r="A44" s="41"/>
      <c r="B44" s="41"/>
      <c r="C44" s="41"/>
      <c r="D44" s="41"/>
      <c r="E44" s="41"/>
      <c r="F44" s="41"/>
    </row>
    <row r="45" spans="1:6" ht="24" customHeight="1" x14ac:dyDescent="0.25">
      <c r="A45" s="41"/>
      <c r="B45" s="41"/>
      <c r="C45" s="41"/>
      <c r="D45" s="41"/>
      <c r="E45" s="41"/>
      <c r="F45" s="41"/>
    </row>
    <row r="46" spans="1:6" ht="24" customHeight="1" x14ac:dyDescent="0.25">
      <c r="A46" s="41"/>
      <c r="B46" s="41"/>
      <c r="C46" s="41"/>
      <c r="D46" s="41"/>
      <c r="E46" s="41"/>
      <c r="F46" s="41"/>
    </row>
    <row r="47" spans="1:6" ht="24" customHeight="1" x14ac:dyDescent="0.25">
      <c r="A47" s="41"/>
      <c r="B47" s="41"/>
      <c r="C47" s="41"/>
      <c r="D47" s="41"/>
      <c r="E47" s="41"/>
      <c r="F47" s="41"/>
    </row>
    <row r="48" spans="1:6" ht="24" customHeight="1" x14ac:dyDescent="0.25">
      <c r="A48" s="41"/>
      <c r="B48" s="41"/>
      <c r="C48" s="41"/>
      <c r="D48" s="41"/>
      <c r="E48" s="41"/>
      <c r="F48" s="41"/>
    </row>
    <row r="49" spans="1:6" ht="24" customHeight="1" x14ac:dyDescent="0.25">
      <c r="A49" s="41"/>
      <c r="B49" s="41"/>
      <c r="C49" s="41"/>
      <c r="D49" s="41"/>
      <c r="E49" s="41"/>
      <c r="F49" s="41"/>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Views>
    <sheetView showGridLines="0" topLeftCell="A46" zoomScaleNormal="100" workbookViewId="0">
      <selection activeCell="A7" sqref="A7"/>
    </sheetView>
  </sheetViews>
  <sheetFormatPr defaultColWidth="8.7109375" defaultRowHeight="15" x14ac:dyDescent="0.25"/>
  <cols>
    <col min="1" max="1" width="32" customWidth="1"/>
    <col min="2" max="2" width="39.140625" customWidth="1"/>
    <col min="3" max="3" width="70" customWidth="1"/>
  </cols>
  <sheetData>
    <row r="1" spans="1:3" ht="27.75" customHeight="1" x14ac:dyDescent="0.25">
      <c r="A1" s="2" t="s">
        <v>868</v>
      </c>
      <c r="B1" s="2"/>
      <c r="C1" s="2"/>
    </row>
    <row r="3" spans="1:3" ht="15" customHeight="1" x14ac:dyDescent="0.25">
      <c r="A3" s="8" t="s">
        <v>869</v>
      </c>
      <c r="B3" s="8"/>
      <c r="C3" s="8"/>
    </row>
    <row r="4" spans="1:3" x14ac:dyDescent="0.25">
      <c r="A4" s="23" t="s">
        <v>870</v>
      </c>
      <c r="B4" s="23" t="s">
        <v>871</v>
      </c>
      <c r="C4" s="23" t="s">
        <v>872</v>
      </c>
    </row>
    <row r="5" spans="1:3" ht="31.5" customHeight="1" x14ac:dyDescent="0.25">
      <c r="A5" s="9" t="s">
        <v>38</v>
      </c>
      <c r="B5" s="12" t="s">
        <v>873</v>
      </c>
      <c r="C5" s="10" t="s">
        <v>874</v>
      </c>
    </row>
    <row r="6" spans="1:3" ht="31.5" customHeight="1" x14ac:dyDescent="0.25">
      <c r="A6" s="9" t="s">
        <v>39</v>
      </c>
      <c r="B6" s="17" t="s">
        <v>873</v>
      </c>
      <c r="C6" s="37" t="s">
        <v>875</v>
      </c>
    </row>
    <row r="7" spans="1:3" ht="31.5" customHeight="1" x14ac:dyDescent="0.25">
      <c r="A7" s="9" t="s">
        <v>40</v>
      </c>
      <c r="B7" s="12" t="s">
        <v>876</v>
      </c>
      <c r="C7" s="10" t="s">
        <v>877</v>
      </c>
    </row>
    <row r="8" spans="1:3" ht="31.5" customHeight="1" x14ac:dyDescent="0.25">
      <c r="A8" s="9" t="s">
        <v>41</v>
      </c>
      <c r="B8" s="17" t="s">
        <v>876</v>
      </c>
      <c r="C8" s="37" t="s">
        <v>878</v>
      </c>
    </row>
    <row r="9" spans="1:3" ht="31.5" customHeight="1" x14ac:dyDescent="0.25">
      <c r="A9" s="9" t="s">
        <v>42</v>
      </c>
      <c r="B9" s="12" t="s">
        <v>876</v>
      </c>
      <c r="C9" s="10" t="s">
        <v>879</v>
      </c>
    </row>
    <row r="10" spans="1:3" ht="31.5" customHeight="1" x14ac:dyDescent="0.25">
      <c r="A10" s="9" t="s">
        <v>43</v>
      </c>
      <c r="B10" s="17" t="s">
        <v>880</v>
      </c>
      <c r="C10" s="37" t="s">
        <v>881</v>
      </c>
    </row>
    <row r="11" spans="1:3" ht="31.5" customHeight="1" x14ac:dyDescent="0.25">
      <c r="A11" s="9" t="s">
        <v>44</v>
      </c>
      <c r="B11" s="12" t="s">
        <v>882</v>
      </c>
      <c r="C11" s="10" t="s">
        <v>883</v>
      </c>
    </row>
    <row r="12" spans="1:3" ht="31.5" customHeight="1" x14ac:dyDescent="0.25">
      <c r="A12" s="9" t="s">
        <v>884</v>
      </c>
      <c r="B12" s="17" t="s">
        <v>882</v>
      </c>
      <c r="C12" s="37" t="s">
        <v>885</v>
      </c>
    </row>
    <row r="13" spans="1:3" ht="31.5" customHeight="1" x14ac:dyDescent="0.25">
      <c r="A13" s="9" t="s">
        <v>46</v>
      </c>
      <c r="B13" s="12" t="s">
        <v>882</v>
      </c>
      <c r="C13" s="10" t="s">
        <v>886</v>
      </c>
    </row>
    <row r="14" spans="1:3" ht="31.5" customHeight="1" x14ac:dyDescent="0.25">
      <c r="A14" s="9" t="s">
        <v>47</v>
      </c>
      <c r="B14" s="17" t="s">
        <v>882</v>
      </c>
      <c r="C14" s="37" t="s">
        <v>887</v>
      </c>
    </row>
    <row r="15" spans="1:3" ht="31.5" customHeight="1" x14ac:dyDescent="0.25">
      <c r="A15" s="9" t="s">
        <v>48</v>
      </c>
      <c r="B15" s="12" t="s">
        <v>882</v>
      </c>
      <c r="C15" s="10" t="s">
        <v>888</v>
      </c>
    </row>
    <row r="16" spans="1:3" ht="31.5" customHeight="1" x14ac:dyDescent="0.25">
      <c r="A16" s="9" t="s">
        <v>49</v>
      </c>
      <c r="B16" s="17" t="s">
        <v>889</v>
      </c>
      <c r="C16" s="37" t="s">
        <v>890</v>
      </c>
    </row>
    <row r="17" spans="1:3" ht="31.5" customHeight="1" x14ac:dyDescent="0.25">
      <c r="A17" s="9" t="s">
        <v>50</v>
      </c>
      <c r="B17" s="12" t="s">
        <v>891</v>
      </c>
      <c r="C17" s="10" t="s">
        <v>892</v>
      </c>
    </row>
    <row r="18" spans="1:3" ht="31.5" customHeight="1" x14ac:dyDescent="0.25">
      <c r="A18" s="9" t="s">
        <v>51</v>
      </c>
      <c r="B18" s="17" t="s">
        <v>889</v>
      </c>
      <c r="C18" s="37" t="s">
        <v>893</v>
      </c>
    </row>
    <row r="19" spans="1:3" ht="31.5" customHeight="1" x14ac:dyDescent="0.25">
      <c r="A19" s="9" t="s">
        <v>52</v>
      </c>
      <c r="B19" s="12" t="s">
        <v>889</v>
      </c>
      <c r="C19" s="10" t="s">
        <v>894</v>
      </c>
    </row>
    <row r="20" spans="1:3" ht="31.5" customHeight="1" x14ac:dyDescent="0.25">
      <c r="A20" s="9" t="s">
        <v>53</v>
      </c>
      <c r="B20" s="17" t="s">
        <v>889</v>
      </c>
      <c r="C20" s="37" t="s">
        <v>895</v>
      </c>
    </row>
    <row r="21" spans="1:3" ht="31.5" customHeight="1" x14ac:dyDescent="0.25">
      <c r="A21" s="9" t="s">
        <v>54</v>
      </c>
      <c r="B21" s="12" t="s">
        <v>889</v>
      </c>
      <c r="C21" s="10" t="s">
        <v>896</v>
      </c>
    </row>
    <row r="22" spans="1:3" ht="31.5" customHeight="1" x14ac:dyDescent="0.25">
      <c r="A22" s="9" t="s">
        <v>55</v>
      </c>
      <c r="B22" s="17" t="s">
        <v>889</v>
      </c>
      <c r="C22" s="37" t="s">
        <v>897</v>
      </c>
    </row>
    <row r="23" spans="1:3" ht="31.5" customHeight="1" x14ac:dyDescent="0.25">
      <c r="A23" s="9" t="s">
        <v>56</v>
      </c>
      <c r="B23" s="12" t="s">
        <v>889</v>
      </c>
      <c r="C23" s="10" t="s">
        <v>898</v>
      </c>
    </row>
    <row r="24" spans="1:3" ht="31.5" customHeight="1" x14ac:dyDescent="0.25">
      <c r="A24" s="9" t="s">
        <v>57</v>
      </c>
      <c r="B24" s="17" t="s">
        <v>889</v>
      </c>
      <c r="C24" s="37" t="s">
        <v>899</v>
      </c>
    </row>
    <row r="25" spans="1:3" ht="31.5" customHeight="1" x14ac:dyDescent="0.25">
      <c r="A25" s="9" t="s">
        <v>58</v>
      </c>
      <c r="B25" s="12" t="s">
        <v>889</v>
      </c>
      <c r="C25" s="10" t="s">
        <v>900</v>
      </c>
    </row>
    <row r="26" spans="1:3" ht="31.5" customHeight="1" x14ac:dyDescent="0.25">
      <c r="A26" s="9" t="s">
        <v>59</v>
      </c>
      <c r="B26" s="17" t="s">
        <v>889</v>
      </c>
      <c r="C26" s="37" t="s">
        <v>901</v>
      </c>
    </row>
    <row r="27" spans="1:3" ht="31.5" customHeight="1" x14ac:dyDescent="0.25">
      <c r="A27" s="9" t="s">
        <v>60</v>
      </c>
      <c r="B27" s="12" t="s">
        <v>889</v>
      </c>
      <c r="C27" s="10" t="s">
        <v>902</v>
      </c>
    </row>
    <row r="28" spans="1:3" ht="31.5" customHeight="1" x14ac:dyDescent="0.25">
      <c r="A28" s="9" t="s">
        <v>61</v>
      </c>
      <c r="B28" s="17" t="s">
        <v>889</v>
      </c>
      <c r="C28" s="37" t="s">
        <v>903</v>
      </c>
    </row>
    <row r="29" spans="1:3" ht="31.5" customHeight="1" x14ac:dyDescent="0.25">
      <c r="A29" s="9" t="s">
        <v>62</v>
      </c>
      <c r="B29" s="12" t="s">
        <v>889</v>
      </c>
      <c r="C29" s="10" t="s">
        <v>904</v>
      </c>
    </row>
    <row r="30" spans="1:3" ht="31.5" customHeight="1" x14ac:dyDescent="0.25">
      <c r="A30" s="9" t="s">
        <v>63</v>
      </c>
      <c r="B30" s="17" t="s">
        <v>889</v>
      </c>
      <c r="C30" s="37" t="s">
        <v>905</v>
      </c>
    </row>
    <row r="31" spans="1:3" ht="31.5" customHeight="1" x14ac:dyDescent="0.25">
      <c r="A31" s="9" t="s">
        <v>64</v>
      </c>
      <c r="B31" s="12" t="s">
        <v>889</v>
      </c>
      <c r="C31" s="10" t="s">
        <v>906</v>
      </c>
    </row>
    <row r="32" spans="1:3" ht="31.5" customHeight="1" x14ac:dyDescent="0.25">
      <c r="A32" s="9" t="s">
        <v>65</v>
      </c>
      <c r="B32" s="17" t="s">
        <v>889</v>
      </c>
      <c r="C32" s="37" t="s">
        <v>907</v>
      </c>
    </row>
    <row r="33" spans="1:3" ht="31.5" customHeight="1" x14ac:dyDescent="0.25">
      <c r="A33" s="9" t="s">
        <v>66</v>
      </c>
      <c r="B33" s="12" t="s">
        <v>908</v>
      </c>
      <c r="C33" s="10" t="s">
        <v>909</v>
      </c>
    </row>
    <row r="34" spans="1:3" ht="31.5" customHeight="1" x14ac:dyDescent="0.25">
      <c r="A34" s="9" t="s">
        <v>67</v>
      </c>
      <c r="B34" s="17" t="s">
        <v>908</v>
      </c>
      <c r="C34" s="37" t="s">
        <v>910</v>
      </c>
    </row>
    <row r="35" spans="1:3" ht="31.5" customHeight="1" x14ac:dyDescent="0.25">
      <c r="A35" s="9" t="s">
        <v>68</v>
      </c>
      <c r="B35" s="12" t="s">
        <v>908</v>
      </c>
      <c r="C35" s="10" t="s">
        <v>911</v>
      </c>
    </row>
    <row r="36" spans="1:3" ht="31.5" customHeight="1" x14ac:dyDescent="0.25">
      <c r="A36" s="9" t="s">
        <v>69</v>
      </c>
      <c r="B36" s="17" t="s">
        <v>908</v>
      </c>
      <c r="C36" s="37" t="s">
        <v>912</v>
      </c>
    </row>
    <row r="37" spans="1:3" ht="31.5" customHeight="1" x14ac:dyDescent="0.25">
      <c r="A37" s="9" t="s">
        <v>70</v>
      </c>
      <c r="B37" s="12" t="s">
        <v>908</v>
      </c>
      <c r="C37" s="10" t="s">
        <v>913</v>
      </c>
    </row>
    <row r="38" spans="1:3" ht="31.5" customHeight="1" x14ac:dyDescent="0.25">
      <c r="A38" s="9" t="s">
        <v>71</v>
      </c>
      <c r="B38" s="17" t="s">
        <v>889</v>
      </c>
      <c r="C38" s="37" t="s">
        <v>914</v>
      </c>
    </row>
    <row r="39" spans="1:3" ht="31.5" customHeight="1" x14ac:dyDescent="0.25">
      <c r="A39" s="9" t="s">
        <v>72</v>
      </c>
      <c r="B39" s="12" t="s">
        <v>889</v>
      </c>
      <c r="C39" s="10" t="s">
        <v>915</v>
      </c>
    </row>
    <row r="40" spans="1:3" ht="31.5" customHeight="1" x14ac:dyDescent="0.25">
      <c r="A40" s="9" t="s">
        <v>73</v>
      </c>
      <c r="B40" s="17" t="s">
        <v>889</v>
      </c>
      <c r="C40" s="37" t="s">
        <v>916</v>
      </c>
    </row>
    <row r="41" spans="1:3" ht="31.5" customHeight="1" x14ac:dyDescent="0.25">
      <c r="A41" s="9" t="s">
        <v>74</v>
      </c>
      <c r="B41" s="12" t="s">
        <v>917</v>
      </c>
      <c r="C41" s="10" t="s">
        <v>918</v>
      </c>
    </row>
    <row r="42" spans="1:3" ht="31.5" customHeight="1" x14ac:dyDescent="0.25">
      <c r="A42" s="9" t="s">
        <v>75</v>
      </c>
      <c r="B42" s="17" t="s">
        <v>889</v>
      </c>
      <c r="C42" s="37" t="s">
        <v>919</v>
      </c>
    </row>
    <row r="43" spans="1:3" ht="31.5" customHeight="1" x14ac:dyDescent="0.25">
      <c r="A43" s="9" t="s">
        <v>76</v>
      </c>
      <c r="B43" s="12" t="s">
        <v>920</v>
      </c>
      <c r="C43" s="10" t="s">
        <v>921</v>
      </c>
    </row>
    <row r="44" spans="1:3" ht="31.5" customHeight="1" x14ac:dyDescent="0.25">
      <c r="A44" s="9" t="s">
        <v>77</v>
      </c>
      <c r="B44" s="17" t="s">
        <v>889</v>
      </c>
      <c r="C44" s="37" t="s">
        <v>922</v>
      </c>
    </row>
    <row r="48" spans="1:3" ht="15" customHeight="1" x14ac:dyDescent="0.25">
      <c r="A48" s="8" t="s">
        <v>923</v>
      </c>
      <c r="B48" s="8"/>
      <c r="C48" s="8"/>
    </row>
    <row r="49" spans="1:3" x14ac:dyDescent="0.25">
      <c r="A49" s="23" t="s">
        <v>824</v>
      </c>
      <c r="B49" s="23" t="s">
        <v>836</v>
      </c>
      <c r="C49" s="23" t="s">
        <v>924</v>
      </c>
    </row>
    <row r="50" spans="1:3" ht="45" customHeight="1" x14ac:dyDescent="0.25">
      <c r="A50" s="42" t="s">
        <v>89</v>
      </c>
      <c r="B50" s="43" t="s">
        <v>925</v>
      </c>
      <c r="C50" s="10" t="s">
        <v>926</v>
      </c>
    </row>
    <row r="51" spans="1:3" ht="45" customHeight="1" x14ac:dyDescent="0.25">
      <c r="A51" s="44" t="s">
        <v>112</v>
      </c>
      <c r="B51" s="43" t="s">
        <v>927</v>
      </c>
      <c r="C51" s="10" t="s">
        <v>928</v>
      </c>
    </row>
    <row r="52" spans="1:3" ht="45" customHeight="1" x14ac:dyDescent="0.25">
      <c r="A52" s="45" t="s">
        <v>177</v>
      </c>
      <c r="B52" s="43" t="s">
        <v>929</v>
      </c>
      <c r="C52" s="10" t="s">
        <v>930</v>
      </c>
    </row>
    <row r="53" spans="1:3" ht="45" customHeight="1" x14ac:dyDescent="0.25">
      <c r="A53" s="46" t="s">
        <v>830</v>
      </c>
      <c r="B53" s="43" t="s">
        <v>931</v>
      </c>
      <c r="C53" s="10" t="s">
        <v>932</v>
      </c>
    </row>
    <row r="56" spans="1:3" ht="15" customHeight="1" x14ac:dyDescent="0.25">
      <c r="A56" s="8" t="s">
        <v>933</v>
      </c>
      <c r="B56" s="8"/>
      <c r="C56" s="8"/>
    </row>
    <row r="57" spans="1:3" x14ac:dyDescent="0.25">
      <c r="A57" s="23" t="s">
        <v>828</v>
      </c>
      <c r="B57" s="23" t="s">
        <v>934</v>
      </c>
      <c r="C57" s="23" t="s">
        <v>935</v>
      </c>
    </row>
    <row r="58" spans="1:3" ht="45" customHeight="1" x14ac:dyDescent="0.25">
      <c r="A58" s="47" t="s">
        <v>83</v>
      </c>
      <c r="B58" s="12" t="s">
        <v>936</v>
      </c>
      <c r="C58" s="10" t="s">
        <v>937</v>
      </c>
    </row>
    <row r="59" spans="1:3" ht="45" customHeight="1" x14ac:dyDescent="0.25">
      <c r="A59" s="48" t="s">
        <v>413</v>
      </c>
      <c r="B59" s="12" t="s">
        <v>938</v>
      </c>
      <c r="C59" s="10" t="s">
        <v>939</v>
      </c>
    </row>
    <row r="60" spans="1:3" ht="45" customHeight="1" x14ac:dyDescent="0.25">
      <c r="A60" s="49" t="s">
        <v>477</v>
      </c>
      <c r="B60" s="12" t="s">
        <v>940</v>
      </c>
      <c r="C60" s="10" t="s">
        <v>941</v>
      </c>
    </row>
    <row r="61" spans="1:3" ht="45" customHeight="1" x14ac:dyDescent="0.25">
      <c r="A61" s="50" t="s">
        <v>566</v>
      </c>
      <c r="B61" s="12" t="s">
        <v>942</v>
      </c>
      <c r="C61" s="10" t="s">
        <v>943</v>
      </c>
    </row>
  </sheetData>
  <mergeCells count="4">
    <mergeCell ref="A1:C1"/>
    <mergeCell ref="A3:C3"/>
    <mergeCell ref="A48:C48"/>
    <mergeCell ref="A56:C5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SoA Register</vt:lpstr>
      <vt:lpstr>Dashboard</vt:lpstr>
      <vt:lpstr>Coverage Analysis</vt:lpstr>
      <vt:lpstr>Audit Trail</vt:lpstr>
      <vt:lpstr>Reference &amp; Schema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Filemon Elloso, Jr.</cp:lastModifiedBy>
  <cp:revision>0</cp:revision>
  <dcterms:created xsi:type="dcterms:W3CDTF">2026-05-15T06:50:37Z</dcterms:created>
  <dcterms:modified xsi:type="dcterms:W3CDTF">2026-05-15T07:02:31Z</dcterms:modified>
  <dc:language>en-US</dc:language>
</cp:coreProperties>
</file>