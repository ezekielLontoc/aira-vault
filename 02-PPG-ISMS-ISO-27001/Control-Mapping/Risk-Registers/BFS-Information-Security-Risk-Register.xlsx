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isk Register" sheetId="2" state="visible" r:id="rId4"/>
    <sheet name="Risk Matrix" sheetId="3" state="visible" r:id="rId5"/>
    <sheet name="Dashboard" sheetId="4" state="visible" r:id="rId6"/>
    <sheet name="Reference &amp; Schema"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<sst xmlns="http://schemas.openxmlformats.org/spreadsheetml/2006/main" count="1505" uniqueCount="954">
  <si>
    <t xml:space="preserve">BFS INFORMATION SECURITY MANAGEMENT SYSTEM</t>
  </si>
  <si>
    <t xml:space="preserve">INFORMATION SECURITY
RISK REGISTER</t>
  </si>
  <si>
    <t xml:space="preserve">Comprehensive Information Security Risk Register Aligned with
BFS-ISMS-003 Risk Assessment and Treatment Methodology</t>
  </si>
  <si>
    <t xml:space="preserve">Reference</t>
  </si>
  <si>
    <t xml:space="preserve">BFS-RR-2025</t>
  </si>
  <si>
    <t xml:space="preserve">Version</t>
  </si>
  <si>
    <t xml:space="preserve">1.0</t>
  </si>
  <si>
    <t xml:space="preserve">Classification</t>
  </si>
  <si>
    <t xml:space="preserve">CONFIDENTIAL — Authorized Use Only</t>
  </si>
  <si>
    <t xml:space="preserve">Effective Date</t>
  </si>
  <si>
    <t xml:space="preserve">April 2025</t>
  </si>
  <si>
    <t xml:space="preserve">Review Cycle</t>
  </si>
  <si>
    <t xml:space="preserve">Per Risk Level (Monthly CRITICAL / Quarterly HIGH / Semi-annually MEDIUM / Annually LOW)</t>
  </si>
  <si>
    <t xml:space="preserve">Methodology Reference</t>
  </si>
  <si>
    <t xml:space="preserve">BFS-ISMS-003 Risk Assessment and Treatment Methodology</t>
  </si>
  <si>
    <t xml:space="preserve">Companion Documents</t>
  </si>
  <si>
    <t xml:space="preserve">BFS-ISMS-001 (Top-Level Policy); BFS-ISMS-002 (Scope and Context); BFS-ISMS-004 (Statement of Applicability); BFS-ISP series (Implementation)</t>
  </si>
  <si>
    <t xml:space="preserve">Framework Alignment</t>
  </si>
  <si>
    <t xml:space="preserve">ISO/IEC 27001:2022 Clauses 6.1.2 and 6.1.3; ISO/IEC 27005:2022; ISO 31000:2018; NIST SP 800-30</t>
  </si>
  <si>
    <t xml:space="preserve">Regulatory Alignment</t>
  </si>
  <si>
    <t xml:space="preserve">BSP Circular 1140; BSP Circular 1048; RA 10173; RA 11765; PCI DSS v4.0</t>
  </si>
  <si>
    <t xml:space="preserve">Owner</t>
  </si>
  <si>
    <t xml:space="preserve">Chief Information Security Officer / Chief Risk Officer</t>
  </si>
  <si>
    <t xml:space="preserve">Maintainer</t>
  </si>
  <si>
    <t xml:space="preserve">CISO Office / Risk Management Team</t>
  </si>
  <si>
    <t xml:space="preserve">Total Risks</t>
  </si>
  <si>
    <t xml:space="preserve">45</t>
  </si>
  <si>
    <t xml:space="preserve">Approval</t>
  </si>
  <si>
    <t xml:space="preserve">CISO + CIO + CRO + Board Audit &amp; Risk Committee</t>
  </si>
  <si>
    <t xml:space="preserve">© BFS Financial Services. CONFIDENTIAL — For Internal, Audit, and Regulatory Examination Use Only.</t>
  </si>
  <si>
    <t xml:space="preserve">BFS INFORMATION SECURITY RISK REGISTER  |  CONFIDENTIAL  |  Aligned with BFS-ISMS-003</t>
  </si>
  <si>
    <t xml:space="preserve">Risk ID</t>
  </si>
  <si>
    <t xml:space="preserve">Risk Title</t>
  </si>
  <si>
    <t xml:space="preserve">Risk Category</t>
  </si>
  <si>
    <t xml:space="preserve">CIA Classification</t>
  </si>
  <si>
    <t xml:space="preserve">Risk Statement</t>
  </si>
  <si>
    <t xml:space="preserve">Identification Source</t>
  </si>
  <si>
    <t xml:space="preserve">Affected Assets</t>
  </si>
  <si>
    <t xml:space="preserve">Affected Interested Parties</t>
  </si>
  <si>
    <t xml:space="preserve">Threat Source</t>
  </si>
  <si>
    <t xml:space="preserve">Vulnerability</t>
  </si>
  <si>
    <t xml:space="preserve">Existing Controls</t>
  </si>
  <si>
    <t xml:space="preserve">Inherent Likelihood</t>
  </si>
  <si>
    <t xml:space="preserve">Inherent Impact</t>
  </si>
  <si>
    <t xml:space="preserve">Inherent Score</t>
  </si>
  <si>
    <t xml:space="preserve">Inherent Risk Level</t>
  </si>
  <si>
    <t xml:space="preserve">Current Likelihood</t>
  </si>
  <si>
    <t xml:space="preserve">Current Impact</t>
  </si>
  <si>
    <t xml:space="preserve">Current Score</t>
  </si>
  <si>
    <t xml:space="preserve">Current Risk Level</t>
  </si>
  <si>
    <t xml:space="preserve">Risk Owner</t>
  </si>
  <si>
    <t xml:space="preserve">Risk Treatment Decision</t>
  </si>
  <si>
    <t xml:space="preserve">Treatment Rationale</t>
  </si>
  <si>
    <t xml:space="preserve">Planned / Selected Controls</t>
  </si>
  <si>
    <t xml:space="preserve">Target Residual Likelihood</t>
  </si>
  <si>
    <t xml:space="preserve">Target Residual Impact</t>
  </si>
  <si>
    <t xml:space="preserve">Target Residual Score</t>
  </si>
  <si>
    <t xml:space="preserve">Target Residual Risk Level</t>
  </si>
  <si>
    <t xml:space="preserve">Implementation Owner</t>
  </si>
  <si>
    <t xml:space="preserve">Target Completion Date</t>
  </si>
  <si>
    <t xml:space="preserve">Monitoring / Review Frequency</t>
  </si>
  <si>
    <t xml:space="preserve">Effectiveness Measurement</t>
  </si>
  <si>
    <t xml:space="preserve">Treatment Status</t>
  </si>
  <si>
    <t xml:space="preserve">Risk Owner Approval</t>
  </si>
  <si>
    <t xml:space="preserve">Last Reassessment Date</t>
  </si>
  <si>
    <t xml:space="preserve">Risk Status</t>
  </si>
  <si>
    <t xml:space="preserve">Remarks</t>
  </si>
  <si>
    <t xml:space="preserve">BFS-RISK-2025-0001</t>
  </si>
  <si>
    <t xml:space="preserve">Ransomware compromise of internet-facing infrastructure</t>
  </si>
  <si>
    <t xml:space="preserve">External Attack</t>
  </si>
  <si>
    <t xml:space="preserve">Confidentiality, Integrity, Availability</t>
  </si>
  <si>
    <t xml:space="preserve">A ransomware threat actor could exploit unpatched vulnerabilities in internet-facing VPN/RDP infrastructure affecting core banking systems and customer data resulting in extended service outage, customer data exfiltration, BSP material sanctions, and PHP 50-500M financial loss.</t>
  </si>
  <si>
    <t xml:space="preserve">Threat-Based + Threat Intelligence</t>
  </si>
  <si>
    <t xml:space="preserve">Core banking platform; customer data stores; VPN/RDP infrastructure; backup systems</t>
  </si>
  <si>
    <t xml:space="preserve">Customers; BSP; NPC; shareholders; employees</t>
  </si>
  <si>
    <t xml:space="preserve">External Cybercriminal (Ransomware Operators)</t>
  </si>
  <si>
    <t xml:space="preserve">Internet-facing infrastructure with potential unpatched CVEs; VPN architecture vs zero-trust target state; backup integrity risks</t>
  </si>
  <si>
    <t xml:space="preserve">BFS-ISP-007 vulnerability management; BFS-ISP-006 access control; BFS-ISP-010 endpoint protection (EDR); BFS-ISP-011 backup; immutable backups partial</t>
  </si>
  <si>
    <t xml:space="preserve">CRITICAL</t>
  </si>
  <si>
    <t xml:space="preserve">Chief Information Officer</t>
  </si>
  <si>
    <t xml:space="preserve">MODIFY</t>
  </si>
  <si>
    <t xml:space="preserve">AVOID infeasible (cannot cease internet operations). MODIFY dominant via controls. TRANSFER (cyber insurance) for residual financial impact only. ACCEPT prohibited (CRITICAL).</t>
  </si>
  <si>
    <t xml:space="preserve">BFS-ISP-007 24-hour SLA for KEV/CRITICAL CVEs; BFS-ISP-006 ZTNA migration eliminating VPN; BFS-ISP-010 EDR with ransomware behavioral detection; BFS-ISP-011 immutable backups + tested recovery; cyber insurance</t>
  </si>
  <si>
    <t xml:space="preserve">MEDIUM</t>
  </si>
  <si>
    <t xml:space="preserve">Head of IT Security / Head of Infrastructure Engineering</t>
  </si>
  <si>
    <t xml:space="preserve">2025-12-31</t>
  </si>
  <si>
    <t xml:space="preserve">Monthly (CRITICAL)</t>
  </si>
  <si>
    <t xml:space="preserve">Mean Time to Patch KEV ≤24hr; ZTNA coverage ≥95%; EDR detection rate ≥99%; quarterly recovery exercise success</t>
  </si>
  <si>
    <t xml:space="preserve">In Progress</t>
  </si>
  <si>
    <t xml:space="preserve">CISO+CIO+CRO joint approval 2025-04-15; Board AC notified</t>
  </si>
  <si>
    <t xml:space="preserve">2025-04-15</t>
  </si>
  <si>
    <t xml:space="preserve">Active</t>
  </si>
  <si>
    <t xml:space="preserve">Top-priority risk per Board Audit &amp; Risk Committee. Monthly status reporting until residual reaches MEDIUM. Companion controls: BFS-ISP-011-DRP.</t>
  </si>
  <si>
    <t xml:space="preserve">BFS-RISK-2025-0002</t>
  </si>
  <si>
    <t xml:space="preserve">Business Email Compromise (BEC) targeting payment authorization</t>
  </si>
  <si>
    <t xml:space="preserve">Integrity, Confidentiality</t>
  </si>
  <si>
    <t xml:space="preserve">An external threat actor could use spoofed/compromised email to socially engineer authorized personnel into initiating fraudulent wire transfers or vendor payment redirections affecting BFS treasury and customer payment operations resulting in direct financial loss and customer trust damage.</t>
  </si>
  <si>
    <t xml:space="preserve">Threat-Based + Sector Threat Intelligence (FS-ISAC)</t>
  </si>
  <si>
    <t xml:space="preserve">Email infrastructure; treasury operations; vendor payment systems; finance team workflows</t>
  </si>
  <si>
    <t xml:space="preserve">BFS treasury; customers; vendors; auditors</t>
  </si>
  <si>
    <t xml:space="preserve">External Cybercriminal (Financial Fraud Operators)</t>
  </si>
  <si>
    <t xml:space="preserve">Email-based payment authorization workflows; insufficient out-of-band verification; potential SPF/DKIM/DMARC gaps</t>
  </si>
  <si>
    <t xml:space="preserve">BFS-ISP-013 email security gateway; SPF/DKIM/DMARC partial; BFS-ISP-014 security awareness training; manual callback verification for high-value</t>
  </si>
  <si>
    <t xml:space="preserve">Chief Financial Officer</t>
  </si>
  <si>
    <t xml:space="preserve">Email is essential business function. Controls reduce both likelihood (technical email controls) and impact (procedural verification). Cyber insurance for residual.</t>
  </si>
  <si>
    <t xml:space="preserve">DMARC enforcement (p=reject); BFS-ISP-013 advanced email security with impersonation detection; mandatory dual approval for transfers &gt;PHP 1M; mandatory callback to verified number for any payment change request; quarterly BEC simulation training</t>
  </si>
  <si>
    <t xml:space="preserve">CFO Office / Head of IT Security</t>
  </si>
  <si>
    <t xml:space="preserve">2025-09-30</t>
  </si>
  <si>
    <t xml:space="preserve">Quarterly (HIGH)</t>
  </si>
  <si>
    <t xml:space="preserve">DMARC reject coverage 100%; BEC simulation click rate ≤5%; verified callback evidence in 100% of payment changes</t>
  </si>
  <si>
    <t xml:space="preserve">CISO+CFO approved 2025-04-10; Board AC notified</t>
  </si>
  <si>
    <t xml:space="preserve">2025-04-10</t>
  </si>
  <si>
    <t xml:space="preserve">Industry data shows BEC as #1 cybercrime by financial loss. Coordinate with HR on mandatory training; with vendor management for vendor verification.</t>
  </si>
  <si>
    <t xml:space="preserve">BFS-RISK-2025-0003</t>
  </si>
  <si>
    <t xml:space="preserve">DDoS attack disrupting customer-facing banking channels</t>
  </si>
  <si>
    <t xml:space="preserve">Availability</t>
  </si>
  <si>
    <t xml:space="preserve">A DDoS threat actor could overwhelm internet-facing customer banking channels (online banking, mobile API, payment gateways) resulting in customer-facing service unavailability, customer dissatisfaction, and potential RA 11765 customer protection implications.</t>
  </si>
  <si>
    <t xml:space="preserve">Threat-Based + Sector Threat Intelligence</t>
  </si>
  <si>
    <t xml:space="preserve">Customer-facing channels; CDN; web application firewalls; DNS; payment APIs</t>
  </si>
  <si>
    <t xml:space="preserve">Retail customers; corporate customers; BSP; regulators</t>
  </si>
  <si>
    <t xml:space="preserve">External Cybercriminal (Hacktivist / Extortion / State-Sponsored)</t>
  </si>
  <si>
    <t xml:space="preserve">Internet-facing services exposed; potential capacity limits; DDoS protection effectiveness against L7 attacks</t>
  </si>
  <si>
    <t xml:space="preserve">Cloud-based DDoS protection (provider); WAF; rate limiting; CDN; BFS-ISP-013 network segmentation</t>
  </si>
  <si>
    <t xml:space="preserve">Head of IT Operations</t>
  </si>
  <si>
    <t xml:space="preserve">Customer-facing presence essential. Multi-layered DDoS protection cost-effective. Cannot AVOID. TRANSFER inappropriate.</t>
  </si>
  <si>
    <t xml:space="preserve">Enhanced cloud DDoS with L7 protection; geo-blocking for non-PH traffic where legitimate; rate limiting at API gateway; surge capacity provisioning; runbook for DDoS response per BFS-ISP-036</t>
  </si>
  <si>
    <t xml:space="preserve">Head of Network / Head of Cloud Engineering</t>
  </si>
  <si>
    <t xml:space="preserve">2025-08-31</t>
  </si>
  <si>
    <t xml:space="preserve">Quarterly</t>
  </si>
  <si>
    <t xml:space="preserve">DDoS exercise: customer-facing services maintain availability under 100Gbps simulated attack; MTTR &lt;30 min for L7 attacks</t>
  </si>
  <si>
    <t xml:space="preserve">Implemented</t>
  </si>
  <si>
    <t xml:space="preserve">CISO+CIO approved 2025-03-15</t>
  </si>
  <si>
    <t xml:space="preserve">2025-04-01</t>
  </si>
  <si>
    <t xml:space="preserve">Customer-facing channels validated against simulated DDoS quarterly per BFS-ISP-036.</t>
  </si>
  <si>
    <t xml:space="preserve">BFS-RISK-2025-0004</t>
  </si>
  <si>
    <t xml:space="preserve">Credential theft via phishing targeting BFS personnel</t>
  </si>
  <si>
    <t xml:space="preserve">Confidentiality, Integrity</t>
  </si>
  <si>
    <t xml:space="preserve">External phishing campaigns could harvest BFS personnel credentials enabling unauthorized access to BFS systems including email, SaaS applications, and remote access infrastructure resulting in lateral movement, data exfiltration, and potential ransomware staging.</t>
  </si>
  <si>
    <t xml:space="preserve">Threat-Based + Past Incidents</t>
  </si>
  <si>
    <t xml:space="preserve">Identity infrastructure; email; SaaS applications; VPN/ZTNA; user endpoints</t>
  </si>
  <si>
    <t xml:space="preserve">BFS personnel; customers (downstream); BSP</t>
  </si>
  <si>
    <t xml:space="preserve">External Cybercriminal (Credential Harvesters)</t>
  </si>
  <si>
    <t xml:space="preserve">Personnel susceptibility to phishing; password-only authentication on legacy systems; partial MFA coverage</t>
  </si>
  <si>
    <t xml:space="preserve">BFS-ISP-005 MFA on critical systems; BFS-ISP-014 security awareness training; phishing simulation; email security gateway</t>
  </si>
  <si>
    <t xml:space="preserve">HIGH</t>
  </si>
  <si>
    <t xml:space="preserve">Chief Information Security Officer</t>
  </si>
  <si>
    <t xml:space="preserve">Phishing is unavoidable threat. Defense-in-depth via training (likelihood) + MFA (impact) + monitoring (detection).</t>
  </si>
  <si>
    <t xml:space="preserve">100% MFA coverage including legacy applications via federation/PAM; phishing-resistant authentication (FIDO2) for privileged users per BFS-ISP-005; monthly phishing simulation per BFS-ISP-014; conditional access policies; behavioral analytics for anomalous logins</t>
  </si>
  <si>
    <t xml:space="preserve">Head of Identity &amp; Access Management / CISO Office</t>
  </si>
  <si>
    <t xml:space="preserve">2025-10-31</t>
  </si>
  <si>
    <t xml:space="preserve">MFA coverage 100%; phishing simulation click rate ≤8%; credential reuse detection rate ≥95%; anomalous login detection rate ≥90%</t>
  </si>
  <si>
    <t xml:space="preserve">CISO approved 2025-04-05; Board AC notified</t>
  </si>
  <si>
    <t xml:space="preserve">2025-04-05</t>
  </si>
  <si>
    <t xml:space="preserve">Phishing-resistant FIDO2 rollout phased: privileged users Q2, all admin Q3, all users Q4.</t>
  </si>
  <si>
    <t xml:space="preserve">BFS-RISK-2025-0005</t>
  </si>
  <si>
    <t xml:space="preserve">API abuse / scraping of customer banking APIs</t>
  </si>
  <si>
    <t xml:space="preserve">External attackers could exploit insecure APIs (BOLA, broken authentication, excessive data exposure) in customer banking platforms to extract customer data at scale, conduct fraud, or enumerate accounts resulting in customer data exposure and potential RA 10173 NPC notification.</t>
  </si>
  <si>
    <t xml:space="preserve">Threat-Based + OWASP API Top 10 + Penetration Testing</t>
  </si>
  <si>
    <t xml:space="preserve">Customer-facing APIs; API gateway; mobile/web banking applications; customer data</t>
  </si>
  <si>
    <t xml:space="preserve">Customers; NPC; BSP</t>
  </si>
  <si>
    <t xml:space="preserve">External Cybercriminal (API Abusers / Fraudsters)</t>
  </si>
  <si>
    <t xml:space="preserve">API security gaps; insufficient rate limiting per user; potential authorization flaws; excessive data exposure in responses</t>
  </si>
  <si>
    <t xml:space="preserve">BFS-ISP-016 API security review; API gateway with auth; rate limiting; BFS-ISP-018 penetration testing</t>
  </si>
  <si>
    <t xml:space="preserve">Head of Software Engineering</t>
  </si>
  <si>
    <t xml:space="preserve">APIs essential for customer experience. Defense via secure design + testing + runtime protection.</t>
  </si>
  <si>
    <t xml:space="preserve">API security scanning in CI/CD per BFS-ISP-016; API runtime protection (anomaly detection); per-user rate limiting; OAuth 2.0 / OIDC enforcement; comprehensive penetration testing per BFS-ISP-018 quarterly</t>
  </si>
  <si>
    <t xml:space="preserve">Head of Application Security</t>
  </si>
  <si>
    <t xml:space="preserve">2025-11-30</t>
  </si>
  <si>
    <t xml:space="preserve">OWASP API Top 10 coverage 100%; pen test findings remediated per SLA; API anomaly detection rate ≥85%</t>
  </si>
  <si>
    <t xml:space="preserve">CISO+HSE approved 2025-04-08</t>
  </si>
  <si>
    <t xml:space="preserve">2025-04-08</t>
  </si>
  <si>
    <t xml:space="preserve">Open Banking direction may expand API surface — re-evaluate annually.</t>
  </si>
  <si>
    <t xml:space="preserve">BFS-RISK-2025-0006</t>
  </si>
  <si>
    <t xml:space="preserve">Supply chain compromise of third-party software dependency</t>
  </si>
  <si>
    <t xml:space="preserve">A nation-state or sophisticated threat actor could compromise a software supply chain component (npm package, library, vendor update) used in BFS applications resulting in malicious code execution within BFS production systems and potential lateral movement.</t>
  </si>
  <si>
    <t xml:space="preserve">Threat-Based + Industry Incidents (SolarWinds, log4j, xz-utils)</t>
  </si>
  <si>
    <t xml:space="preserve">All applications using third-party dependencies; CI/CD pipelines; production systems</t>
  </si>
  <si>
    <t xml:space="preserve">BFS personnel; customers; BSP</t>
  </si>
  <si>
    <t xml:space="preserve">Nation-State APT / Sophisticated Cybercriminal</t>
  </si>
  <si>
    <t xml:space="preserve">Third-party dependency consumption without comprehensive verification; CI/CD pipeline trust</t>
  </si>
  <si>
    <t xml:space="preserve">BFS-ISP-016 SBOM generation partial; dependency scanning (SCA); BFS-ISP-016 §6.3 pipeline security</t>
  </si>
  <si>
    <t xml:space="preserve">Cannot avoid third-party dependencies. Defense via SBOM, scanning, runtime protection, vendor security review.</t>
  </si>
  <si>
    <t xml:space="preserve">Comprehensive SBOM per BFS-ISP-016 §7; SCA in CI/CD with vulnerability blocking; dependency pinning + update review process; runtime application protection; vendor security assessment per BFS-ISP-031</t>
  </si>
  <si>
    <t xml:space="preserve">Head of Application Security / Head of DevSecOps</t>
  </si>
  <si>
    <t xml:space="preserve">2026-03-31</t>
  </si>
  <si>
    <t xml:space="preserve">SBOM coverage 100%; SCA vulnerability detection in &lt;24hr; mean time to remediate critical SCA findings ≤7 days</t>
  </si>
  <si>
    <t xml:space="preserve">CISO+HSE approved 2025-04-12; Board AC notified</t>
  </si>
  <si>
    <t xml:space="preserve">2025-04-12</t>
  </si>
  <si>
    <t xml:space="preserve">Difficult to fully mitigate. Investment continues across SBOM, SCA, runtime protection, vendor governance.</t>
  </si>
  <si>
    <t xml:space="preserve">BFS-RISK-2025-0007</t>
  </si>
  <si>
    <t xml:space="preserve">Card-skimming / Magecart-style attacks on payment pages</t>
  </si>
  <si>
    <t xml:space="preserve">External attackers could inject malicious JavaScript into customer-facing payment pages (via compromised third-party scripts or own application) to steal cardholder data resulting in PCI DSS non-compliance, customer financial loss, and BSP/PCI council scrutiny.</t>
  </si>
  <si>
    <t xml:space="preserve">Threat-Based + PCI DSS v4.0 §6.4.3</t>
  </si>
  <si>
    <t xml:space="preserve">Customer-facing web payment interfaces; CDE-adjacent web infrastructure; third-party scripts</t>
  </si>
  <si>
    <t xml:space="preserve">Cardholders; PCI Security Standards Council; card networks; BSP</t>
  </si>
  <si>
    <t xml:space="preserve">External Cybercriminal (Magecart-style operators)</t>
  </si>
  <si>
    <t xml:space="preserve">Third-party scripts on payment pages; lack of subresource integrity; client-side script monitoring gaps</t>
  </si>
  <si>
    <t xml:space="preserve">PCI DSS controls; CSP partial; BFS-ISP-016 application security review</t>
  </si>
  <si>
    <t xml:space="preserve">PCI DSS v4.0 §6.4.3 mandates script monitoring on payment pages. MODIFY essential for compliance.</t>
  </si>
  <si>
    <t xml:space="preserve">Per PCI DSS §6.4.3 - inventory all scripts on payment pages; integrity verification; client-side script monitoring; iframe isolation of payment forms; subresource integrity</t>
  </si>
  <si>
    <t xml:space="preserve">Script inventory complete; SRI deployed; runtime monitoring detects unauthorized script changes within 5 minutes</t>
  </si>
  <si>
    <t xml:space="preserve">CISO approved 2025-04-15</t>
  </si>
  <si>
    <t xml:space="preserve">PCI DSS v4.0 future-dated requirement effective 2025-03-31. Compliance gap closure underway.</t>
  </si>
  <si>
    <t xml:space="preserve">BFS-RISK-2025-0008</t>
  </si>
  <si>
    <t xml:space="preserve">Mobile banking application reverse engineering / modification</t>
  </si>
  <si>
    <t xml:space="preserve">Attackers could reverse engineer or modify the BFS mobile banking application to bypass security controls, extract embedded secrets, or distribute malicious modified versions resulting in customer fraud, credential theft, and reputational damage.</t>
  </si>
  <si>
    <t xml:space="preserve">Threat-Based + Mobile Threat Intelligence</t>
  </si>
  <si>
    <t xml:space="preserve">BFS mobile banking applications (iOS/Android); embedded secrets; customer authentication flows</t>
  </si>
  <si>
    <t xml:space="preserve">Mobile banking customers; BFS; app stores</t>
  </si>
  <si>
    <t xml:space="preserve">External Cybercriminal (Mobile Malware Operators / Fraudsters)</t>
  </si>
  <si>
    <t xml:space="preserve">Mobile applications inherently exposed to client-side analysis; potential embedded secrets; runtime manipulation possible</t>
  </si>
  <si>
    <t xml:space="preserve">BFS-ISP-022 mobile security; certificate pinning; basic obfuscation; runtime root/jailbreak detection</t>
  </si>
  <si>
    <t xml:space="preserve">Head of Mobile Engineering</t>
  </si>
  <si>
    <t xml:space="preserve">Mobile presence essential. Defense via obfuscation, RASP, server-side verification of all critical operations.</t>
  </si>
  <si>
    <t xml:space="preserve">Advanced code obfuscation; runtime application self-protection (RASP); strong certificate pinning; no embedded secrets policy; server-side verification of all critical client claims; app integrity verification at backend</t>
  </si>
  <si>
    <t xml:space="preserve">Head of Mobile Engineering / Head of Application Security</t>
  </si>
  <si>
    <t xml:space="preserve">Semi-annually</t>
  </si>
  <si>
    <t xml:space="preserve">Independent mobile security assessment shows no critical findings; RASP detection rate ≥90%; certificate pinning coverage 100%</t>
  </si>
  <si>
    <t xml:space="preserve">CISO+HSE approved 2025-04-12</t>
  </si>
  <si>
    <t xml:space="preserve">Coordinate with mobile development team for SDK selection. Annual mobile penetration testing per BFS-ISP-018.</t>
  </si>
  <si>
    <t xml:space="preserve">BFS-RISK-2025-0009</t>
  </si>
  <si>
    <t xml:space="preserve">Malicious insider data exfiltration of customer information</t>
  </si>
  <si>
    <t xml:space="preserve">Insider Threat</t>
  </si>
  <si>
    <t xml:space="preserve">Confidentiality</t>
  </si>
  <si>
    <t xml:space="preserve">A malicious BFS insider with authorized access to customer data could exfiltrate customer records for personal gain, sale to third parties, or use in fraud resulting in mass customer data breach, RA 10173 NPC notification, and material reputational damage.</t>
  </si>
  <si>
    <t xml:space="preserve">Threat-Based + Industry Incidents</t>
  </si>
  <si>
    <t xml:space="preserve">Customer databases; CRM; data warehouse; export tools; personnel with data access</t>
  </si>
  <si>
    <t xml:space="preserve">Customers; NPC; BSP; affected employees (subject to disciplinary action)</t>
  </si>
  <si>
    <t xml:space="preserve">Malicious Insider (Disgruntled Employee / Financially Motivated)</t>
  </si>
  <si>
    <t xml:space="preserve">Personnel with broad data access; insufficient data movement monitoring; potential excess privileges per BFS-ISP-005 reviews</t>
  </si>
  <si>
    <t xml:space="preserve">BFS-ISP-005 access management; least privilege partial; BFS-ISP-021 background checks; BFS-ISP-008 audit logging</t>
  </si>
  <si>
    <t xml:space="preserve">Insider risk inherent to operations. Defense via prevention (least privilege, segregation), detection (DLP, UEBA), response (incident handling).</t>
  </si>
  <si>
    <t xml:space="preserve">Enterprise DLP deployment per BFS-ISP-013; UEBA for anomalous data access patterns; quarterly access reviews per BFS-ISP-005 §8; segregation of duties enforcement per BFS-ISP-025; mandatory background checks renewal per BFS-ISP-021</t>
  </si>
  <si>
    <t xml:space="preserve">CISO Office / Head of HR</t>
  </si>
  <si>
    <t xml:space="preserve">DLP coverage 100% on customer data; UEBA detection rate ≥80%; access review completion ≥98%; SoD violations resolved within 30 days</t>
  </si>
  <si>
    <t xml:space="preserve">CISO+CHRO approved 2025-04-15; Board AC notified</t>
  </si>
  <si>
    <t xml:space="preserve">Cultural and procedural controls equally important to technical. Coordinate with HR ethics, internal audit, compliance hotline.</t>
  </si>
  <si>
    <t xml:space="preserve">BFS-RISK-2025-0010</t>
  </si>
  <si>
    <t xml:space="preserve">Privileged user abuse / unauthorized administrative actions</t>
  </si>
  <si>
    <t xml:space="preserve">A privileged user (system administrator, DBA, application owner) could abuse elevated privileges to access unauthorized data, make unauthorized configuration changes, or facilitate fraud resulting in confidentiality/integrity compromise and potential systematic control failure.</t>
  </si>
  <si>
    <t xml:space="preserve">Threat-Based + Audit Findings</t>
  </si>
  <si>
    <t xml:space="preserve">Production systems; databases; cloud admin consoles; PAM systems; audit logs</t>
  </si>
  <si>
    <t xml:space="preserve">All BFS stakeholders; auditors; BSP</t>
  </si>
  <si>
    <t xml:space="preserve">Malicious Insider (Privileged User)</t>
  </si>
  <si>
    <t xml:space="preserve">Necessarily-elevated privileges; potential PAM coverage gaps; audit log integrity dependencies</t>
  </si>
  <si>
    <t xml:space="preserve">BFS-ISP-005 §7 privileged access management; PAM deployed for critical systems; BFS-ISP-008 audit logging with integrity protection; quarterly privileged access reviews</t>
  </si>
  <si>
    <t xml:space="preserve">Privileged access necessary. Comprehensive PAM + monitoring + segregation = defense in depth.</t>
  </si>
  <si>
    <t xml:space="preserve">100% PAM coverage including cloud and SaaS; just-in-time elevation; session recording for all privileged sessions; UEBA on privileged accounts; quarterly access certification per BFS-ISP-005 §8.2; SoD enforcement</t>
  </si>
  <si>
    <t xml:space="preserve">Head of Identity &amp; Access Management</t>
  </si>
  <si>
    <t xml:space="preserve">PAM coverage 100%; JIT activation success ≥99%; session recording retention 1 year; access certification completion 100%</t>
  </si>
  <si>
    <t xml:space="preserve">CISO+CIO approved 2025-04-10; Board AC notified</t>
  </si>
  <si>
    <t xml:space="preserve">PAM expansion to cover all cloud platforms and SaaS admin in phases through Q3.</t>
  </si>
  <si>
    <t xml:space="preserve">BFS-RISK-2025-0011</t>
  </si>
  <si>
    <t xml:space="preserve">Negligent insider - unintended data exposure via misconfiguration</t>
  </si>
  <si>
    <t xml:space="preserve">A BFS employee could unintentionally expose customer or business data through misconfigured cloud storage, public document sharing, email error, or unsecured collaboration tool resulting in data exposure, RA 10173 implications, and required NPC notification.</t>
  </si>
  <si>
    <t xml:space="preserve">Cloud storage (S3, OneDrive, SharePoint); collaboration tools; email; databases</t>
  </si>
  <si>
    <t xml:space="preserve">Customers; NPC; BSP; affected employees</t>
  </si>
  <si>
    <t xml:space="preserve">Negligent Insider</t>
  </si>
  <si>
    <t xml:space="preserve">Configuration complexity; insufficient training on secure data handling; default-public configurations</t>
  </si>
  <si>
    <t xml:space="preserve">BFS-ISP-014 awareness training; BFS-ISP-033 cloud security baseline; BFS-ISP-013 email DLP; configuration scanning partial</t>
  </si>
  <si>
    <t xml:space="preserve">Data Protection Officer</t>
  </si>
  <si>
    <t xml:space="preserve">Human error inevitable. Combined technical (default-secure config, automated scanning) and procedural (training, classification) controls.</t>
  </si>
  <si>
    <t xml:space="preserve">Cloud security posture management (CSPM) with auto-remediation; mandatory data classification per BFS-ISP-003; quarterly handling training per BFS-ISP-014; DLP across email/cloud/endpoint; default-private collaboration settings</t>
  </si>
  <si>
    <t xml:space="preserve">DPO / Head of Cloud Security</t>
  </si>
  <si>
    <t xml:space="preserve">CSPM coverage 100%; auto-remediation rate ≥80% for known misconfigurations; DLP block rate for sensitive data sent externally ≥95%</t>
  </si>
  <si>
    <t xml:space="preserve">CISO+DPO approved 2025-04-08</t>
  </si>
  <si>
    <t xml:space="preserve">Most data breaches sector-wide attributable to negligence rather than malice. Training emphasis.</t>
  </si>
  <si>
    <t xml:space="preserve">BFS-RISK-2025-0012</t>
  </si>
  <si>
    <t xml:space="preserve">Departing employee data theft prior to or during offboarding</t>
  </si>
  <si>
    <t xml:space="preserve">An employee in notice period or recently terminated could exfiltrate customer data, intellectual property, or sensitive documents prior to access revocation resulting in data exposure, IP loss, and potential competitive harm.</t>
  </si>
  <si>
    <t xml:space="preserve">Customer data; intellectual property; design documents; business plans; source code</t>
  </si>
  <si>
    <t xml:space="preserve">BFS; customers (downstream); future employer (if competitor)</t>
  </si>
  <si>
    <t xml:space="preserve">Departing Insider</t>
  </si>
  <si>
    <t xml:space="preserve">Notice period access maintenance; offboarding gaps; personal device use</t>
  </si>
  <si>
    <t xml:space="preserve">BFS-ISP-021 §6 offboarding procedures; BFS-ISP-005 deprovisioning; exit interviews</t>
  </si>
  <si>
    <t xml:space="preserve">Chief Human Resources Officer</t>
  </si>
  <si>
    <t xml:space="preserve">Employee departures inevitable. Enhanced monitoring during notice period + same-day deprovisioning + UEBA detection.</t>
  </si>
  <si>
    <t xml:space="preserve">Enhanced UEBA monitoring during notice period; same-day access revocation per BFS-ISP-021 §6; DLP enhanced sensitivity for departing employees; mandatory device return; legal review of departure agreements; alumni access termination within 24 hours</t>
  </si>
  <si>
    <t xml:space="preserve">LOW</t>
  </si>
  <si>
    <t xml:space="preserve">CHRO / Head of IAM</t>
  </si>
  <si>
    <t xml:space="preserve">2025-07-31</t>
  </si>
  <si>
    <t xml:space="preserve">100% same-day deprovisioning; UEBA detection of departing employee anomalies ≥85%; departing employee data exfiltration incidents ≤2/year</t>
  </si>
  <si>
    <t xml:space="preserve">CISO+CHRO approved 2025-03-20</t>
  </si>
  <si>
    <t xml:space="preserve">2025-03-20</t>
  </si>
  <si>
    <t xml:space="preserve">Coordinate with managers on notice period activity awareness.</t>
  </si>
  <si>
    <t xml:space="preserve">BFS-RISK-2025-0013</t>
  </si>
  <si>
    <t xml:space="preserve">Collusion between insiders to bypass segregation of duties</t>
  </si>
  <si>
    <t xml:space="preserve">Integrity</t>
  </si>
  <si>
    <t xml:space="preserve">Two or more insiders could collude to bypass segregation of duties controls (e.g., approver and processor working together) to commit fraud or unauthorized actions resulting in financial fraud, control failure, and regulatory examination findings.</t>
  </si>
  <si>
    <t xml:space="preserve">Threat-Based + Audit Risk Assessment</t>
  </si>
  <si>
    <t xml:space="preserve">Financial transaction systems; payment systems; user provisioning; high-value approval workflows</t>
  </si>
  <si>
    <t xml:space="preserve">BFS; customers; auditors; BSP</t>
  </si>
  <si>
    <t xml:space="preserve">Colluding Insiders</t>
  </si>
  <si>
    <t xml:space="preserve">Two-person controls assumed independent; potential collusion not addressable by single-control SoD</t>
  </si>
  <si>
    <t xml:space="preserve">BFS-ISP-025 segregation of duties; quarterly access reviews; BFS-ISP-008 audit logging</t>
  </si>
  <si>
    <t xml:space="preserve">Chief Risk Officer</t>
  </si>
  <si>
    <t xml:space="preserve">Collusion harder to prevent than single-person fraud. Defense via independent monitoring, rotational duties, transaction analytics.</t>
  </si>
  <si>
    <t xml:space="preserve">Transaction analytics for unusual patterns even with valid approvals; rotational duties per BFS-ISP-025; mandatory vacation policy for sensitive roles; independent reconciliation by third party; whistleblower hotline</t>
  </si>
  <si>
    <t xml:space="preserve">CRO / Internal Audit</t>
  </si>
  <si>
    <t xml:space="preserve">Anomaly detection identifies unusual approval patterns; mandatory vacation completion 100%; whistleblower reports investigated within 5 days</t>
  </si>
  <si>
    <t xml:space="preserve">Planned</t>
  </si>
  <si>
    <t xml:space="preserve">CRO approved 2025-04-15</t>
  </si>
  <si>
    <t xml:space="preserve">Cultural ethics program critical. Coordinate with internal audit fraud risk assessment.</t>
  </si>
  <si>
    <t xml:space="preserve">BFS-RISK-2025-0014</t>
  </si>
  <si>
    <t xml:space="preserve">Critical SaaS vendor service outage affecting BFS operations</t>
  </si>
  <si>
    <t xml:space="preserve">Third-Party Risk</t>
  </si>
  <si>
    <t xml:space="preserve">Availability, Integrity</t>
  </si>
  <si>
    <t xml:space="preserve">A TIER 1 SaaS vendor (e.g., Microsoft 365, Salesforce, payment processor) could experience extended outage or security incident affecting BFS operational capability resulting in business disruption, customer service impact, and potential RA 11765 customer protection implications.</t>
  </si>
  <si>
    <t xml:space="preserve">Threat-Based + Vendor Inventory Analysis</t>
  </si>
  <si>
    <t xml:space="preserve">Critical SaaS dependencies; vendor APIs; integrated workflows; customer-facing dependencies</t>
  </si>
  <si>
    <t xml:space="preserve">BFS personnel; customers; partner channels</t>
  </si>
  <si>
    <t xml:space="preserve">Vendor (System Failure / Security Incident / Operational Issue)</t>
  </si>
  <si>
    <t xml:space="preserve">Vendor dependency without alternative; insufficient SLA enforcement; backup/failover gaps</t>
  </si>
  <si>
    <t xml:space="preserve">BFS-ISP-031 vendor risk management partial; SLA agreements; some backup providers</t>
  </si>
  <si>
    <t xml:space="preserve">MODIFY + TRANSFER</t>
  </si>
  <si>
    <t xml:space="preserve">SaaS adoption necessary. MODIFY via redundancy + monitoring; TRANSFER via vendor SLA penalties (limited recovery for BFS losses).</t>
  </si>
  <si>
    <t xml:space="preserve">BFS-ISP-031 third-party risk management; vendor concentration risk assessment; TIER 1 vendor backup/failover; contractual SLA penalties; vendor security ratings monitoring; quarterly vendor risk reviews</t>
  </si>
  <si>
    <t xml:space="preserve">Head of Vendor Management / Head of IT Operations</t>
  </si>
  <si>
    <t xml:space="preserve">TIER 1 vendor concentration risk documented; backup providers identified for top 5 dependencies; vendor security score monitoring active</t>
  </si>
  <si>
    <t xml:space="preserve">CISO+CIO approved 2025-04-10</t>
  </si>
  <si>
    <t xml:space="preserve">Concentration risk requires Board awareness. Industry-wide concentration in cloud and SaaS providers.</t>
  </si>
  <si>
    <t xml:space="preserve">BFS-RISK-2025-0015</t>
  </si>
  <si>
    <t xml:space="preserve">Third-party security breach exposing BFS data held by vendor</t>
  </si>
  <si>
    <t xml:space="preserve">A vendor processing BFS customer or business data could experience security breach exposing data held by the vendor on BFS behalf resulting in BFS-attributed data breach with RA 10173 NPC notification, customer impact, and reputational damage.</t>
  </si>
  <si>
    <t xml:space="preserve">Threat-Based + Vendor Risk Assessments</t>
  </si>
  <si>
    <t xml:space="preserve">Customer data held by vendors; vendor processing infrastructure; data sharing pipelines</t>
  </si>
  <si>
    <t xml:space="preserve">Customers; NPC; BSP; vendor</t>
  </si>
  <si>
    <t xml:space="preserve">Vendor (Security Compromise of Vendor)</t>
  </si>
  <si>
    <t xml:space="preserve">Data shared with vendors; vendor security posture variability; data minimization gaps</t>
  </si>
  <si>
    <t xml:space="preserve">BFS-ISP-031 vendor security assessments; data processing agreements per RA 10173; minimum security requirements in contracts</t>
  </si>
  <si>
    <t xml:space="preserve">Vendor processing necessary. Defense via vendor selection (security assessment), contract (DPA), minimization (only necessary data), monitoring.</t>
  </si>
  <si>
    <t xml:space="preserve">BFS-ISP-031 enhanced vendor security assessment; SOC 2 Type II / ISO 27001 certification requirements; data minimization in vendor sharing; vendor security ratings ongoing monitoring; data processing agreement (DPA) per RA 10173 §16</t>
  </si>
  <si>
    <t xml:space="preserve">DPO / Head of Vendor Management</t>
  </si>
  <si>
    <t xml:space="preserve">100% data-processing vendors with current security assessment; 100% with DPA; data minimization audit complete</t>
  </si>
  <si>
    <t xml:space="preserve">CISO+DPO approved 2025-04-15</t>
  </si>
  <si>
    <t xml:space="preserve">Industry trend: increasing third-party breach incidents. NPC may impose joint liability under RA 10173.</t>
  </si>
  <si>
    <t xml:space="preserve">BFS-RISK-2025-0016</t>
  </si>
  <si>
    <t xml:space="preserve">Cloud service provider region/zone failure affecting BFS workloads</t>
  </si>
  <si>
    <t xml:space="preserve">A cloud service provider could experience region or availability zone failure affecting BFS workloads resulting in service disruption, potential data loss for non-replicated workloads, and recovery activities triggering BCP/DR per BFS-ISP-011.</t>
  </si>
  <si>
    <t xml:space="preserve">Threat-Based + Industry Cloud Incidents (AWS, Azure, GCP outages)</t>
  </si>
  <si>
    <t xml:space="preserve">Cloud workloads; cloud-stored data; cloud-dependent services</t>
  </si>
  <si>
    <t xml:space="preserve">BFS personnel; customers; cloud provider</t>
  </si>
  <si>
    <t xml:space="preserve">Vendor (Cloud Provider Failure)</t>
  </si>
  <si>
    <t xml:space="preserve">Single-region deployments for some workloads; multi-region/multi-AZ coverage gaps; failover testing frequency</t>
  </si>
  <si>
    <t xml:space="preserve">BFS-ISP-033 cloud security; multi-AZ for production; partial multi-region; BFS-ISP-011 BCP/DRP</t>
  </si>
  <si>
    <t xml:space="preserve">Head of Cloud Engineering</t>
  </si>
  <si>
    <t xml:space="preserve">Cloud adoption strategic. Multi-region/AZ + active-active where critical + tested failover.</t>
  </si>
  <si>
    <t xml:space="preserve">Multi-region active-active for tier-1 workloads per BFS-ISP-033 §11; multi-AZ for all production; cross-region backup; quarterly failover exercises; cloud DR runbooks per BFS-ISP-011-DRP</t>
  </si>
  <si>
    <t xml:space="preserve">Head of Cloud Engineering / Head of SRE</t>
  </si>
  <si>
    <t xml:space="preserve">2026-06-30</t>
  </si>
  <si>
    <t xml:space="preserve">Tier-1 workloads multi-region; quarterly failover exercise success; RTO/RPO targets met per BFS-ISP-011</t>
  </si>
  <si>
    <t xml:space="preserve">CIO+CISO approved 2025-04-12</t>
  </si>
  <si>
    <t xml:space="preserve">Cost-benefit analysis ongoing for multi-region workloads. Phased implementation.</t>
  </si>
  <si>
    <t xml:space="preserve">BFS-RISK-2025-0017</t>
  </si>
  <si>
    <t xml:space="preserve">Vendor financial failure / business discontinuity</t>
  </si>
  <si>
    <t xml:space="preserve">A critical BFS vendor could experience financial failure, acquisition with adverse impact, or business discontinuity affecting BFS service delivery resulting in operational disruption and need for emergency vendor replacement.</t>
  </si>
  <si>
    <t xml:space="preserve">Threat-Based + Vendor Financial Monitoring</t>
  </si>
  <si>
    <t xml:space="preserve">Vendor-dependent services; vendor data and IP; operational continuity</t>
  </si>
  <si>
    <t xml:space="preserve">BFS; customers; affected vendor employees</t>
  </si>
  <si>
    <t xml:space="preserve">Vendor (Business Failure / Acquisition / Strategy Shift)</t>
  </si>
  <si>
    <t xml:space="preserve">Vendor dependency without exit plan; insufficient vendor financial monitoring</t>
  </si>
  <si>
    <t xml:space="preserve">BFS-ISP-031 vendor management; partial vendor financial monitoring</t>
  </si>
  <si>
    <t xml:space="preserve">Head of Vendor Management</t>
  </si>
  <si>
    <t xml:space="preserve">Vendor failures uncommon but disruptive. Defense via financial monitoring, exit plans, alternative provider identification.</t>
  </si>
  <si>
    <t xml:space="preserve">Vendor financial health monitoring for TIER 1; exit plans documented for TIER 1; alternative provider identification; data portability assessment; contractual vendor stability provisions</t>
  </si>
  <si>
    <t xml:space="preserve">Head of Vendor Management / CFO</t>
  </si>
  <si>
    <t xml:space="preserve">100% TIER 1 vendors with documented exit plan; financial monitoring active; data portability tested</t>
  </si>
  <si>
    <t xml:space="preserve">CFO+CISO approved 2025-04-15</t>
  </si>
  <si>
    <t xml:space="preserve">Particularly relevant for fintech and AI vendors with rapid market evolution.</t>
  </si>
  <si>
    <t xml:space="preserve">BFS-RISK-2025-0018</t>
  </si>
  <si>
    <t xml:space="preserve">Foundation model AI vendor service disruption or behavior change</t>
  </si>
  <si>
    <t xml:space="preserve">A foundation model AI vendor (OpenAI, Anthropic, Google, AWS Bedrock) could experience service disruption, deprecate models in use, or change model behavior affecting AI-dependent BFS services resulting in degraded customer experience and potential service unavailability.</t>
  </si>
  <si>
    <t xml:space="preserve">Threat-Based + AI Vendor Risk Assessment</t>
  </si>
  <si>
    <t xml:space="preserve">AI/ML services; foundation model APIs; customer-facing AI experiences</t>
  </si>
  <si>
    <t xml:space="preserve">Customers using AI services; AI/ML team; vendor</t>
  </si>
  <si>
    <t xml:space="preserve">Vendor (AI Provider)</t>
  </si>
  <si>
    <t xml:space="preserve">Foundation model API dependency; lack of multi-provider abstraction; behavioral consistency dependencies</t>
  </si>
  <si>
    <t xml:space="preserve">BFS-AI-001 AI governance; BFS-AI-003 model lifecycle management; partial multi-provider strategy</t>
  </si>
  <si>
    <t xml:space="preserve">Head of Enterprise Architecture and AI</t>
  </si>
  <si>
    <t xml:space="preserve">AI vendor dependency manageable through abstraction layer + multi-provider + monitoring.</t>
  </si>
  <si>
    <t xml:space="preserve">Provider abstraction layer per BFS-AI-001; multi-provider strategy for tier-1 AI; behavior monitoring for model changes; deprecation calendar tracking; AI Risk Officer engagement per BFS-AI-002 §6</t>
  </si>
  <si>
    <t xml:space="preserve">Head of AI Engineering / Head of Vendor Management</t>
  </si>
  <si>
    <t xml:space="preserve">Provider abstraction layer covers tier-1 AI; multi-provider tested; behavior change detection rate ≥85%</t>
  </si>
  <si>
    <t xml:space="preserve">CISO+HEAA+HEA approved 2025-04-10</t>
  </si>
  <si>
    <t xml:space="preserve">Emerging dependency. AI vendor landscape evolving rapidly. Annual reassessment minimum.</t>
  </si>
  <si>
    <t xml:space="preserve">BFS-RISK-2025-0019</t>
  </si>
  <si>
    <t xml:space="preserve">BSP material examination findings on cybersecurity per Circular 1048</t>
  </si>
  <si>
    <t xml:space="preserve">Compliance Risk</t>
  </si>
  <si>
    <t xml:space="preserve">BSP examination could identify material findings against Circular 1048 cybersecurity requirements resulting in BSP supervisory actions including monetary penalties, restrictions on operations, capital surcharges, or board-level interventions.</t>
  </si>
  <si>
    <t xml:space="preserve">Compliance-Based + BSP Supervisory Framework</t>
  </si>
  <si>
    <t xml:space="preserve">BFS regulatory compliance posture; cybersecurity controls; documentation</t>
  </si>
  <si>
    <t xml:space="preserve">BSP; Board; CEO; shareholders; depositors</t>
  </si>
  <si>
    <t xml:space="preserve">Regulatory (BSP Examination)</t>
  </si>
  <si>
    <t xml:space="preserve">Compliance gap risk against evolving BSP expectations; documentation quality; control evidence</t>
  </si>
  <si>
    <t xml:space="preserve">Comprehensive BSP-aligned security policies (BFS-ISP series); annual compliance assessment; mock examination</t>
  </si>
  <si>
    <t xml:space="preserve">Chief Compliance Officer</t>
  </si>
  <si>
    <t xml:space="preserve">Regulatory compliance non-negotiable per BFS-ISMS-003 §6.4 - regulatory risks evaluated minimum HIGH. Treatment mandatory.</t>
  </si>
  <si>
    <t xml:space="preserve">Continuous compliance monitoring program; quarterly internal compliance assessment; annual mock BSP examination; BSP advisory engagement; comprehensive evidence library; trained internal audit team</t>
  </si>
  <si>
    <t xml:space="preserve">CCO / Internal Audit / CISO</t>
  </si>
  <si>
    <t xml:space="preserve">Continuous</t>
  </si>
  <si>
    <t xml:space="preserve">Mock examination findings ≤5; quarterly compliance assessment ≥95%; BSP examination material findings ≤1</t>
  </si>
  <si>
    <t xml:space="preserve">CCO+CISO+CRO approved 2025-04-01; Board AC notified</t>
  </si>
  <si>
    <t xml:space="preserve">Per BFS-ISMS-003 §6.4 — regulatory compliance risks evaluated minimum HIGH regardless of other dimensions. Quarterly Board reporting.</t>
  </si>
  <si>
    <t xml:space="preserve">BFS-RISK-2025-0020</t>
  </si>
  <si>
    <t xml:space="preserve">RA 10173 Data Privacy Act violation resulting in NPC enforcement</t>
  </si>
  <si>
    <t xml:space="preserve">BFS could violate RA 10173 Data Privacy Act through unauthorized processing, security breach, missed notification, or other compliance failure resulting in NPC enforcement action including penalties, compliance orders, and required remediation.</t>
  </si>
  <si>
    <t xml:space="preserve">Compliance-Based + RA 10173</t>
  </si>
  <si>
    <t xml:space="preserve">Personal data processing systems; consent management; data subject rights operations; breach notification processes</t>
  </si>
  <si>
    <t xml:space="preserve">Data subjects (customers/employees); NPC; Board</t>
  </si>
  <si>
    <t xml:space="preserve">Regulatory (NPC Enforcement)</t>
  </si>
  <si>
    <t xml:space="preserve">Personal data processing complexity; consent management; breach notification timing (72-hour requirement); data subject rights operationalization</t>
  </si>
  <si>
    <t xml:space="preserve">BFS-ISP-003 data classification; DPA processes; DPO function per RA 10173; 72-hour breach notification capability; consent management</t>
  </si>
  <si>
    <t xml:space="preserve">RA 10173 compliance mandatory. Comprehensive privacy program required.</t>
  </si>
  <si>
    <t xml:space="preserve">Privacy by design integration in BFS-ISP-016 SSDLC; DPIA per material change; comprehensive consent management; data subject rights portal; 72-hour breach notification process; NPC compliance reviews</t>
  </si>
  <si>
    <t xml:space="preserve">DPO / CISO Office</t>
  </si>
  <si>
    <t xml:space="preserve">DPIA completion for material changes 100%; data subject request response within 30 days; breach notification within 72 hours; NPC complaints ≤3/year</t>
  </si>
  <si>
    <t xml:space="preserve">DPO+CISO+CCO approved 2025-04-05; Board AC notified</t>
  </si>
  <si>
    <t xml:space="preserve">NPC enforcement increasing across financial sector. Continuous engagement with NPC Circulars.</t>
  </si>
  <si>
    <t xml:space="preserve">BFS-RISK-2025-0021</t>
  </si>
  <si>
    <t xml:space="preserve">PCI DSS v4.0 non-compliance affecting cardholder data environment</t>
  </si>
  <si>
    <t xml:space="preserve">BFS could fail to meet PCI DSS v4.0 requirements (effective March 2025) for cardholder data environment resulting in QSA findings, card network sanctions, increased transaction fees, or loss of card acceptance privileges.</t>
  </si>
  <si>
    <t xml:space="preserve">Compliance-Based + PCI DSS v4.0</t>
  </si>
  <si>
    <t xml:space="preserve">Cardholder data environment (CDE); payment processing infrastructure; CDE-adjacent systems</t>
  </si>
  <si>
    <t xml:space="preserve">Cardholders; PCI Security Standards Council; card networks; QSA</t>
  </si>
  <si>
    <t xml:space="preserve">Regulatory (PCI DSS Compliance)</t>
  </si>
  <si>
    <t xml:space="preserve">PCI DSS v4.0 evolving requirements; CDE scope creep; documentation requirements</t>
  </si>
  <si>
    <t xml:space="preserve">PCI DSS controls implemented; annual QSA assessment; quarterly ASV scans; segmentation tested</t>
  </si>
  <si>
    <t xml:space="preserve">PCI DSS compliance required for card business. Continuous program ensures compliance.</t>
  </si>
  <si>
    <t xml:space="preserve">PCI DSS v4.0 future-dated requirements gap closure; CDE scope minimization; tokenization expansion; quarterly internal PCI assessment; annual QSA; ASV scans</t>
  </si>
  <si>
    <t xml:space="preserve">CISO / Head of Payment Security / QSA</t>
  </si>
  <si>
    <t xml:space="preserve">2025-03-31 (v4.0 effective)</t>
  </si>
  <si>
    <t xml:space="preserve">QSA RoC clean; quarterly ASV pass; CDE scope reduction year-over-year; v4.0 compliance achieved</t>
  </si>
  <si>
    <t xml:space="preserve">PCI DSS v4.0 future-dated requirements monitored closely. Coordinate with QSA.</t>
  </si>
  <si>
    <t xml:space="preserve">BFS-RISK-2025-0022</t>
  </si>
  <si>
    <t xml:space="preserve">ISO/IEC 27001:2022 certification non-conformities or loss</t>
  </si>
  <si>
    <t xml:space="preserve">External certification body could identify material non-conformities during ISO 27001:2022 surveillance or recertification audits resulting in conditional certification, certificate suspension, or certification loss with reputational and commercial implications.</t>
  </si>
  <si>
    <t xml:space="preserve">Compliance-Based + ISO 27001:2022</t>
  </si>
  <si>
    <t xml:space="preserve">ISMS implementation; SoA; Risk Register; control evidence; documentation</t>
  </si>
  <si>
    <t xml:space="preserve">Certification body; customers; partners; auditors</t>
  </si>
  <si>
    <t xml:space="preserve">Regulatory (Certification Body Assessment)</t>
  </si>
  <si>
    <t xml:space="preserve">ISMS operational maturity; documentation currency; evidence quality; control effectiveness validation</t>
  </si>
  <si>
    <t xml:space="preserve">Comprehensive BFS-ISMS series; BFS-ISP series implementation; internal audit per BFS-ISMS-008; management review per BFS-ISMS-009</t>
  </si>
  <si>
    <t xml:space="preserve">ISO 27001 certification commercial value + regulatory expectation. Continuous improvement.</t>
  </si>
  <si>
    <t xml:space="preserve">Internal audit comprehensive coverage per BFS-ISMS-008; mock external audit annually; BFS-ISMS-010 continuous improvement; ISMS effectiveness measurement; management review per BFS-ISMS-009</t>
  </si>
  <si>
    <t xml:space="preserve">CISO / Internal Audit / Risk Mgmt Team</t>
  </si>
  <si>
    <t xml:space="preserve">Annually</t>
  </si>
  <si>
    <t xml:space="preserve">External audit major non-conformities = 0; minor non-conformities ≤3; observations ≤5; certification maintained</t>
  </si>
  <si>
    <t xml:space="preserve">CISO+CRO approved 2025-04-01</t>
  </si>
  <si>
    <t xml:space="preserve">Annual surveillance and tri-annual recertification cycle. Internal audit continuous validation.</t>
  </si>
  <si>
    <t xml:space="preserve">BFS-RISK-2025-0023</t>
  </si>
  <si>
    <t xml:space="preserve">RA 11765 Financial Consumer Protection violation</t>
  </si>
  <si>
    <t xml:space="preserve">BFS could violate RA 11765 Financial Consumer Protection requirements regarding service disruption notification, complaint handling, or fair treatment resulting in BSP enforcement, customer disputes, and reputational damage.</t>
  </si>
  <si>
    <t xml:space="preserve">Compliance-Based + RA 11765</t>
  </si>
  <si>
    <t xml:space="preserve">Customer-facing service operations; complaint handling; service disruption communication</t>
  </si>
  <si>
    <t xml:space="preserve">Financial consumers; BSP; affected employees</t>
  </si>
  <si>
    <t xml:space="preserve">Regulatory (BSP / RA 11765 Enforcement)</t>
  </si>
  <si>
    <t xml:space="preserve">Service disruption notification timing; complaint handling consistency; fair treatment documentation</t>
  </si>
  <si>
    <t xml:space="preserve">Customer complaint process; service disruption communication framework per BFS-ISP-036 §8; consumer education</t>
  </si>
  <si>
    <t xml:space="preserve">RA 11765 compliance mandatory. Coordinated customer protection program.</t>
  </si>
  <si>
    <t xml:space="preserve">Documented customer notification framework per BFS-ISP-036 §8.2; complaint tracking and analytics; vulnerable customer protocols; consumer education program; quarterly compliance review</t>
  </si>
  <si>
    <t xml:space="preserve">CCO / Head of Customer Service</t>
  </si>
  <si>
    <t xml:space="preserve">Customer complaints resolved within SLA ≥95%; service disruption notifications within target time 100%; BSP RA 11765 findings = 0</t>
  </si>
  <si>
    <t xml:space="preserve">CCO approved 2025-03-30</t>
  </si>
  <si>
    <t xml:space="preserve">2025-03-30</t>
  </si>
  <si>
    <t xml:space="preserve">RA 11765 relatively recent. Industry interpretations evolving. BSP guidance ongoing.</t>
  </si>
  <si>
    <t xml:space="preserve">BFS-RISK-2025-0024</t>
  </si>
  <si>
    <t xml:space="preserve">Core banking platform extended outage exceeding RTO</t>
  </si>
  <si>
    <t xml:space="preserve">Operational Risk</t>
  </si>
  <si>
    <t xml:space="preserve">Core banking platform could experience extended outage exceeding defined Recovery Time Objectives resulting in customer service disruption, payment processing failure, BSP material incident reporting, and RA 11765 customer protection implications.</t>
  </si>
  <si>
    <t xml:space="preserve">Threat-Based + BCP Risk Assessment</t>
  </si>
  <si>
    <t xml:space="preserve">Core banking platform; database infrastructure; integration layer; customer-facing channels</t>
  </si>
  <si>
    <t xml:space="preserve">All customers; BSP; payment networks; partners</t>
  </si>
  <si>
    <t xml:space="preserve">System Failure (Multiple — software, infrastructure, capacity, vendor)</t>
  </si>
  <si>
    <t xml:space="preserve">Single points of failure; capacity limits; recovery time complexity</t>
  </si>
  <si>
    <t xml:space="preserve">BFS-ISP-011-BCP/DRP; HA architecture; database replication; incident management per BFS-ISP-036; capacity management per BFS-ISP-030</t>
  </si>
  <si>
    <t xml:space="preserve">Core banking availability foundational. Defense via architecture, capacity, BCP/DR, incident response.</t>
  </si>
  <si>
    <t xml:space="preserve">Multi-region active-active core banking; comprehensive DR testing per BFS-ISP-011-DRP; capacity management per BFS-ISP-030; SRE practices per BFS-ISP-036; chaos engineering for resilience validation</t>
  </si>
  <si>
    <t xml:space="preserve">CIO / Head of Infrastructure / Head of SRE</t>
  </si>
  <si>
    <t xml:space="preserve">2026-12-31</t>
  </si>
  <si>
    <t xml:space="preserve">RTO ≤4 hours; quarterly DR exercise success; chaos exercise survival; uptime ≥99.95%</t>
  </si>
  <si>
    <t xml:space="preserve">CIO+CISO approved 2025-04-15; Board AC quarterly reporting</t>
  </si>
  <si>
    <t xml:space="preserve">Top operational risk. Multi-year improvement program. Board AC quarterly visibility.</t>
  </si>
  <si>
    <t xml:space="preserve">BFS-RISK-2025-0025</t>
  </si>
  <si>
    <t xml:space="preserve">Capacity exhaustion during peak transaction periods</t>
  </si>
  <si>
    <t xml:space="preserve">Production systems could experience capacity exhaustion during peak transaction periods (payday, end-of-month, holiday seasons) resulting in transaction processing degradation, customer experience impact, and potential payment failures.</t>
  </si>
  <si>
    <t xml:space="preserve">Threat-Based + Capacity Trending Analysis</t>
  </si>
  <si>
    <t xml:space="preserve">Application servers; databases; network bandwidth; queue infrastructure; cloud capacity allocations</t>
  </si>
  <si>
    <t xml:space="preserve">Customers transacting during peaks; partners; payment networks</t>
  </si>
  <si>
    <t xml:space="preserve">System Failure (Capacity Exhaustion)</t>
  </si>
  <si>
    <t xml:space="preserve">Peak demand variability; capacity headroom limitations; scaling automation maturity</t>
  </si>
  <si>
    <t xml:space="preserve">BFS-ISP-030 capacity management; capacity monitoring; auto-scaling for cloud workloads; surge capacity provisioning</t>
  </si>
  <si>
    <t xml:space="preserve">Peak demand inherent to business. Capacity management discipline + cloud elasticity + load testing.</t>
  </si>
  <si>
    <t xml:space="preserve">BFS-ISP-030 capacity management; quarterly capacity forecasting; load testing at 150% expected peak; cloud auto-scaling for tier-1 workloads; capacity reserve for holiday peaks; chaos engineering for capacity scenarios</t>
  </si>
  <si>
    <t xml:space="preserve">Head of IT Operations / Head of Cloud Engineering</t>
  </si>
  <si>
    <t xml:space="preserve">Monthly during peak periods</t>
  </si>
  <si>
    <t xml:space="preserve">Capacity utilization at peaks ≤80%; load test pass rate 100%; auto-scaling response time ≤2 min</t>
  </si>
  <si>
    <t xml:space="preserve">CIO+CISO approved 2025-03-25</t>
  </si>
  <si>
    <t xml:space="preserve">Pre-peak validation required: pre-payday, pre-Christmas, etc.</t>
  </si>
  <si>
    <t xml:space="preserve">BFS-RISK-2025-0026</t>
  </si>
  <si>
    <t xml:space="preserve">Production change-caused incident</t>
  </si>
  <si>
    <t xml:space="preserve">Production change (deployment, configuration, infrastructure) could cause unintended service disruption or degradation resulting in customer impact and operational incident response per BFS-ISP-036.</t>
  </si>
  <si>
    <t xml:space="preserve">Incident-Driven + Change Management Risk Assessment</t>
  </si>
  <si>
    <t xml:space="preserve">All production systems subject to change; CI/CD pipelines; configuration management</t>
  </si>
  <si>
    <t xml:space="preserve">Customers; affected business units; vendors</t>
  </si>
  <si>
    <t xml:space="preserve">System Failure (Change-Induced)</t>
  </si>
  <si>
    <t xml:space="preserve">Change complexity; testing coverage; deployment automation maturity</t>
  </si>
  <si>
    <t xml:space="preserve">BFS-ISP-035 change management; BFS-ISP-029 test environments; BFS-ISP-016 CI/CD with quality gates; BFS-ISP-039 release management</t>
  </si>
  <si>
    <t xml:space="preserve">Changes essential for business agility. Defense via discipline (governance), testing, modern deployment techniques.</t>
  </si>
  <si>
    <t xml:space="preserve">BFS-ISP-035 change discipline with risk-calibrated governance; BFS-ISP-039 release techniques (canary, blue-green, feature flags); comprehensive test automation; chaos engineering; DORA metrics tracking</t>
  </si>
  <si>
    <t xml:space="preserve">Head of Software Engineering / Head of SRE</t>
  </si>
  <si>
    <t xml:space="preserve">Change Failure Rate ≤15% per DORA; production incidents from changes ≤10/quarter; MTTR ≤30 min</t>
  </si>
  <si>
    <t xml:space="preserve">CIO+CISO+HSE approved 2025-04-12</t>
  </si>
  <si>
    <t xml:space="preserve">DORA metrics track over time. Aim for elite performance category.</t>
  </si>
  <si>
    <t xml:space="preserve">BFS-RISK-2025-0027</t>
  </si>
  <si>
    <t xml:space="preserve">Key person dependency / knowledge concentration</t>
  </si>
  <si>
    <t xml:space="preserve">Loss of key technical or operational personnel could create knowledge gaps affecting service continuity, project delivery, and organizational capability resulting in operational disruption and capability degradation.</t>
  </si>
  <si>
    <t xml:space="preserve">Threat-Based + HR Risk Assessment</t>
  </si>
  <si>
    <t xml:space="preserve">Specialized knowledge; system understanding; relationships; institutional memory</t>
  </si>
  <si>
    <t xml:space="preserve">Affected systems users; project stakeholders; broader organization</t>
  </si>
  <si>
    <t xml:space="preserve">Personnel (Departure / Unavailability)</t>
  </si>
  <si>
    <t xml:space="preserve">Knowledge concentration; documentation gaps; succession planning maturity</t>
  </si>
  <si>
    <t xml:space="preserve">Documentation programs; knowledge transfer in transitions; partial cross-training</t>
  </si>
  <si>
    <t xml:space="preserve">Personnel risk inherent. Knowledge management + succession planning + retention.</t>
  </si>
  <si>
    <t xml:space="preserve">Knowledge management program; mandatory documentation per system; cross-training; succession planning for key roles; competitive compensation per HR policy; technical career development</t>
  </si>
  <si>
    <t xml:space="preserve">CHRO / Head of Talent / Department Heads</t>
  </si>
  <si>
    <t xml:space="preserve">Bus factor ≥2 for tier-1 systems; documentation coverage ≥90%; succession plans for key roles 100%</t>
  </si>
  <si>
    <t xml:space="preserve">CHRO+CISO approved 2025-04-08</t>
  </si>
  <si>
    <t xml:space="preserve">Particularly relevant for AI/ML expertise given market scarcity.</t>
  </si>
  <si>
    <t xml:space="preserve">BFS-RISK-2025-0028</t>
  </si>
  <si>
    <t xml:space="preserve">Audit log integrity compromise affecting investigation capability</t>
  </si>
  <si>
    <t xml:space="preserve">Integrity, Availability</t>
  </si>
  <si>
    <t xml:space="preserve">Audit logs could be deleted, tampered with, or rendered unavailable due to attack, error, or system failure resulting in inability to investigate incidents, demonstrate compliance, or support forensic analysis.</t>
  </si>
  <si>
    <t xml:space="preserve">Threat-Based + Audit / Forensic Requirements</t>
  </si>
  <si>
    <t xml:space="preserve">Audit log infrastructure; SIEM; log archives; forensic capability</t>
  </si>
  <si>
    <t xml:space="preserve">Internal Audit; CISO Office; regulators; potential law enforcement</t>
  </si>
  <si>
    <t xml:space="preserve">Adversary (Log Tampering) + System Failure</t>
  </si>
  <si>
    <t xml:space="preserve">Log integrity protection; centralized vs distributed logs; retention period vs access controls</t>
  </si>
  <si>
    <t xml:space="preserve">BFS-ISP-008 audit logging; SIEM with integrity protection; log forwarding; retention per regulatory requirements</t>
  </si>
  <si>
    <t xml:space="preserve">Log integrity foundational to detection, investigation, compliance. Comprehensive protection.</t>
  </si>
  <si>
    <t xml:space="preserve">BFS-ISP-008 enhanced log integrity (write-once, cryptographic verification); centralized SIEM with separate access tier; off-site log archive; integrity verification monitoring</t>
  </si>
  <si>
    <t xml:space="preserve">CISO Office / Head of IT Security</t>
  </si>
  <si>
    <t xml:space="preserve">Log integrity verification 100%; SIEM ingestion completeness ≥99.5%; retention period met for all log categories</t>
  </si>
  <si>
    <t xml:space="preserve">CISO approved 2025-03-20</t>
  </si>
  <si>
    <t xml:space="preserve">BSP examination evidence dependency. Forensic admissibility considerations.</t>
  </si>
  <si>
    <t xml:space="preserve">BFS-RISK-2025-0029</t>
  </si>
  <si>
    <t xml:space="preserve">AI hallucination at scale in customer-facing services</t>
  </si>
  <si>
    <t xml:space="preserve">Emerging / AI Risk</t>
  </si>
  <si>
    <t xml:space="preserve">BFS AI/LLM-powered customer-facing services could generate inaccurate, misleading, or harmful information at scale resulting in customer harm, regulatory scrutiny, RA 11765 implications, and reputational damage.</t>
  </si>
  <si>
    <t xml:space="preserve">Emerging Risk + AI Risk Assessment</t>
  </si>
  <si>
    <t xml:space="preserve">Customer-facing AI services; chatbots; recommendation engines; customer support AI</t>
  </si>
  <si>
    <t xml:space="preserve">Customers receiving AI outputs; BSP; NPC</t>
  </si>
  <si>
    <t xml:space="preserve">AI System (Inherent Limitations of Generative AI)</t>
  </si>
  <si>
    <t xml:space="preserve">Foundation model hallucination tendencies; insufficient grounding; lack of confidence indicators</t>
  </si>
  <si>
    <t xml:space="preserve">BFS-AI-001 AI governance; BFS-AI-005 acceptable use; partial monitoring; human-in-loop for high-stakes</t>
  </si>
  <si>
    <t xml:space="preserve">AI essential to BFS strategy but hallucination inherent. Defense via grounding, monitoring, human review, transparency.</t>
  </si>
  <si>
    <t xml:space="preserve">RAG (retrieval augmented generation) grounding per BFS-AI-003; output monitoring with hallucination detection; human-in-loop for high-stakes per BFS-AI-001; user transparency per BFS-AI-005; comprehensive testing; AI Risk Officer engagement per BFS-AI-002 §6</t>
  </si>
  <si>
    <t xml:space="preserve">Head of AI Engineering / Head of Customer Experience</t>
  </si>
  <si>
    <t xml:space="preserve">Hallucination rate ≤2% in production; user-reported issues ≤10/month; satisfaction maintained; AI Risk Officer reviews</t>
  </si>
  <si>
    <t xml:space="preserve">CISO+HEAA+HEA approved 2025-04-15; Board AC notified</t>
  </si>
  <si>
    <t xml:space="preserve">Per BFS-ISMS-003 §6.4 — emerging risk evaluated conservatively. AI Governance Steering Committee oversight.</t>
  </si>
  <si>
    <t xml:space="preserve">BFS-RISK-2025-0030</t>
  </si>
  <si>
    <t xml:space="preserve">AI prompt injection attacks against customer-facing AI</t>
  </si>
  <si>
    <t xml:space="preserve">External attackers could craft inputs designed to manipulate BFS AI systems (prompt injection, jailbreak) to extract sensitive information, perform unauthorized actions, or generate harmful outputs.</t>
  </si>
  <si>
    <t xml:space="preserve">Emerging Risk + AI Threat Intelligence + OWASP LLM Top 10</t>
  </si>
  <si>
    <t xml:space="preserve">Customer-facing AI services; AI agent capabilities; AI-accessible data and tools</t>
  </si>
  <si>
    <t xml:space="preserve">BFS systems; customers; vendor AI providers</t>
  </si>
  <si>
    <t xml:space="preserve">External Attacker (AI Manipulation)</t>
  </si>
  <si>
    <t xml:space="preserve">AI inability to reliably distinguish instructions from data; tool/agent capabilities; insufficient prompt isolation</t>
  </si>
  <si>
    <t xml:space="preserve">BFS-AI-001 AI governance; BFS-AI-005 acceptable use; partial input validation; BFS-AI-003 model lifecycle</t>
  </si>
  <si>
    <t xml:space="preserve">Prompt injection inherent to current AI architectures. Defense via input/output filtering, capability restriction, monitoring.</t>
  </si>
  <si>
    <t xml:space="preserve">Per OWASP LLM Top 10 - input validation; output filtering; least privilege for AI agents; prompt isolation; adversarial testing per BFS-ISP-018; tool restriction per agent context; AI Risk Officer engagement</t>
  </si>
  <si>
    <t xml:space="preserve">Head of AI Engineering / Head of Application Security</t>
  </si>
  <si>
    <t xml:space="preserve">Prompt injection detection rate ≥80%; adversarial test findings remediated; AI agent privilege escalation incidents = 0</t>
  </si>
  <si>
    <t xml:space="preserve">CISO+HEAA approved 2025-04-15; Board AC notified</t>
  </si>
  <si>
    <t xml:space="preserve">Rapidly evolving threat. Quarterly threat intelligence updates. Coordinate with foundation model vendor security advisories.</t>
  </si>
  <si>
    <t xml:space="preserve">BFS-RISK-2025-0031</t>
  </si>
  <si>
    <t xml:space="preserve">AI model drift / degradation affecting decision quality</t>
  </si>
  <si>
    <t xml:space="preserve">Production AI models could experience drift due to data distribution shift, environmental changes, or feedback loops resulting in degraded decision quality, customer experience impact, and potential systematic bias affecting customer outcomes.</t>
  </si>
  <si>
    <t xml:space="preserve">Emerging Risk + AI Operations</t>
  </si>
  <si>
    <t xml:space="preserve">Production AI models; model performance monitoring; training pipelines</t>
  </si>
  <si>
    <t xml:space="preserve">Customers receiving AI-influenced decisions; affected business units</t>
  </si>
  <si>
    <t xml:space="preserve">AI System (Inherent ML Behavior)</t>
  </si>
  <si>
    <t xml:space="preserve">Distribution shift over time; feedback loops; insufficient drift monitoring</t>
  </si>
  <si>
    <t xml:space="preserve">BFS-AI-003 model lifecycle; partial drift monitoring; periodic retraining</t>
  </si>
  <si>
    <t xml:space="preserve">Head of AI Engineering</t>
  </si>
  <si>
    <t xml:space="preserve">Drift inherent to ML models. Continuous monitoring + retraining discipline.</t>
  </si>
  <si>
    <t xml:space="preserve">BFS-AI-003 §11 model monitoring with drift detection; champion-challenger pattern per BFS-AI-003 §5.5; periodic retraining; data quality monitoring; AI Risk Officer reviews per BFS-AI-002 §6</t>
  </si>
  <si>
    <t xml:space="preserve">Head of AI Engineering / Head of Data Science</t>
  </si>
  <si>
    <t xml:space="preserve">Monthly per AI model</t>
  </si>
  <si>
    <t xml:space="preserve">Drift detection coverage 100% production models; retraining cadence met; performance regression incidents ≤5/quarter</t>
  </si>
  <si>
    <t xml:space="preserve">CISO+HEAA approved 2025-04-12</t>
  </si>
  <si>
    <t xml:space="preserve">BFS-AI-003 model registry foundational. Continuous improvement program.</t>
  </si>
  <si>
    <t xml:space="preserve">BFS-RISK-2025-0032</t>
  </si>
  <si>
    <t xml:space="preserve">AI bias resulting in discriminatory or unfair customer outcomes</t>
  </si>
  <si>
    <t xml:space="preserve">AI/ML models could exhibit bias against protected groups or produce systematically unfair outcomes resulting in discriminatory practices, RA 10173/RA 11765 implications, ethical concerns, and reputational damage.</t>
  </si>
  <si>
    <t xml:space="preserve">Emerging Risk + AI Ethics + ISO 42001</t>
  </si>
  <si>
    <t xml:space="preserve">AI models for customer decisions; training data; model evaluation processes</t>
  </si>
  <si>
    <t xml:space="preserve">Customers (especially affected groups); regulators; ethics oversight</t>
  </si>
  <si>
    <t xml:space="preserve">AI System (Bias from Training Data / Model)</t>
  </si>
  <si>
    <t xml:space="preserve">Training data may contain historical bias; model architecture may amplify; insufficient fairness testing</t>
  </si>
  <si>
    <t xml:space="preserve">BFS-AI-001 AI governance with ethics; BFS-AI-002 AI risk; partial fairness testing</t>
  </si>
  <si>
    <t xml:space="preserve">AI Risk Officer</t>
  </si>
  <si>
    <t xml:space="preserve">Fairness fundamental to ethical and regulatory operation. Comprehensive program.</t>
  </si>
  <si>
    <t xml:space="preserve">Per BFS-AI-001 — AI ethics framework; mandatory fairness testing for customer-affecting AI; protected attribute analysis; bias mitigation techniques; AI Risk Officer review per BFS-AI-002 §6; ongoing monitoring</t>
  </si>
  <si>
    <t xml:space="preserve">AI Risk Officer / Head of AI Engineering / DPO</t>
  </si>
  <si>
    <t xml:space="preserve">Quarterly per AI model</t>
  </si>
  <si>
    <t xml:space="preserve">Fairness testing 100% customer-affecting AI; protected attribute analysis complete; bias incidents = 0</t>
  </si>
  <si>
    <t xml:space="preserve">CISO+HEAA+ARO approved 2025-04-15; Board AC notified</t>
  </si>
  <si>
    <t xml:space="preserve">Emerging regulatory focus globally. Philippine framework evolving. Ethics emphasis.</t>
  </si>
  <si>
    <t xml:space="preserve">BFS-RISK-2025-0033</t>
  </si>
  <si>
    <t xml:space="preserve">Quantum computing threat to cryptographic infrastructure</t>
  </si>
  <si>
    <t xml:space="preserve">Future quantum computing capability could compromise current cryptographic algorithms (RSA, ECC) used in BFS infrastructure resulting in compromise of historical encrypted communications, current authentication, and digital signatures (harvest-now-decrypt-later attacks).</t>
  </si>
  <si>
    <t xml:space="preserve">Emerging Risk + Cryptographic Research</t>
  </si>
  <si>
    <t xml:space="preserve">Cryptographic infrastructure; TLS certificates; digital signatures; encrypted data at rest; PKI</t>
  </si>
  <si>
    <t xml:space="preserve">BFS; customers; partners; long-term archives</t>
  </si>
  <si>
    <t xml:space="preserve">Future Adversary with Quantum Capability</t>
  </si>
  <si>
    <t xml:space="preserve">Current cryptography (RSA, ECC) quantum-vulnerable; long-term encrypted data subject to harvest-now-decrypt-later</t>
  </si>
  <si>
    <t xml:space="preserve">BFS-ISP-023 cryptography baseline; current best-practice algorithms; crypto-agility partial</t>
  </si>
  <si>
    <t xml:space="preserve">Quantum threat 5-15 year horizon but harvest-now-decrypt-later means action needed now for sensitive long-term data.</t>
  </si>
  <si>
    <t xml:space="preserve">Crypto-agility per BFS-ISP-023; post-quantum cryptography (PQC) inventory; PQC pilot for critical applications; NIST PQC standard adoption per industry; data classification informing PQC priority</t>
  </si>
  <si>
    <t xml:space="preserve">CISO Office / Head of Infrastructure</t>
  </si>
  <si>
    <t xml:space="preserve">2027-12-31</t>
  </si>
  <si>
    <t xml:space="preserve">Crypto inventory complete; PQC pilot results; long-term data identified for PQC migration</t>
  </si>
  <si>
    <t xml:space="preserve">Long-term horizon but harvest-now-decrypt-later relevant today. NIST PQC standards published 2024.</t>
  </si>
  <si>
    <t xml:space="preserve">BFS-RISK-2025-0034</t>
  </si>
  <si>
    <t xml:space="preserve">Deepfake / synthetic media attacks on customer authentication</t>
  </si>
  <si>
    <t xml:space="preserve">Attackers could use synthetic media (deepfake voice, video) to impersonate customers, executives, or BFS personnel in social engineering attacks against customer service, payment authorization, or executive impersonation resulting in fraud and compromise.</t>
  </si>
  <si>
    <t xml:space="preserve">Emerging Risk + Threat Intelligence</t>
  </si>
  <si>
    <t xml:space="preserve">Customer service workflows; executive communication; voice biometric systems; video conferencing</t>
  </si>
  <si>
    <t xml:space="preserve">BFS personnel; customers; executives</t>
  </si>
  <si>
    <t xml:space="preserve">External Attacker (Synthetic Media Capable)</t>
  </si>
  <si>
    <t xml:space="preserve">Voice biometrics susceptible to deepfake; video calls insufficient verification; phone verification insufficient</t>
  </si>
  <si>
    <t xml:space="preserve">Multi-factor authentication for high-value; partial behavioral analytics; out-of-band verification for high-value transactions</t>
  </si>
  <si>
    <t xml:space="preserve">Emerging threat. Defense via multi-factor verification not relying solely on voice/video.</t>
  </si>
  <si>
    <t xml:space="preserve">Multi-factor verification not solely voice/video; deepfake detection technology evaluation; out-of-band verification for sensitive operations; awareness training; CEO/CFO impersonation procedures</t>
  </si>
  <si>
    <t xml:space="preserve">CISO Office / Head of Customer Service</t>
  </si>
  <si>
    <t xml:space="preserve">Multi-factor verification for high-value 100%; deepfake awareness training completion 100%; impersonation incidents detected ≥80%</t>
  </si>
  <si>
    <t xml:space="preserve">CISO+CFO approved 2025-04-12</t>
  </si>
  <si>
    <t xml:space="preserve">Rapidly evolving capability. Particular concern for executive wire transfer fraud (deepfake CFO scenarios).</t>
  </si>
  <si>
    <t xml:space="preserve">BFS-RISK-2025-0035</t>
  </si>
  <si>
    <t xml:space="preserve">Data center physical infrastructure failure</t>
  </si>
  <si>
    <t xml:space="preserve">Physical Risk</t>
  </si>
  <si>
    <t xml:space="preserve">Data center physical infrastructure (power, cooling, fire suppression) failure could cause sustained outage of co-located BFS infrastructure resulting in business disruption requiring DR activation per BFS-ISP-011-DRP.</t>
  </si>
  <si>
    <t xml:space="preserve">Threat-Based + Physical Security Assessment</t>
  </si>
  <si>
    <t xml:space="preserve">Data center co-located infrastructure; power infrastructure; cooling systems</t>
  </si>
  <si>
    <t xml:space="preserve">BFS personnel and customers dependent on affected systems; data center provider</t>
  </si>
  <si>
    <t xml:space="preserve">Physical (Infrastructure Failure / Natural Cause)</t>
  </si>
  <si>
    <t xml:space="preserve">Single data center dependencies; provider control limitations</t>
  </si>
  <si>
    <t xml:space="preserve">BFS-ISP-026 physical security; tier 3+ data centers; redundant power/cooling; BFS-ISP-011 BCP/DRP</t>
  </si>
  <si>
    <t xml:space="preserve">Head of Infrastructure Engineering</t>
  </si>
  <si>
    <t xml:space="preserve">Cloud-first strategy reduces but doesn't eliminate physical risk. Multi-region + DR for residual.</t>
  </si>
  <si>
    <t xml:space="preserve">Cloud-first strategy reducing colocation; multi-region for tier-1 workloads; quarterly DR exercises per BFS-ISP-011-DRP; data center provider performance monitoring; physical security per BFS-ISP-026</t>
  </si>
  <si>
    <t xml:space="preserve">Head of Infrastructure / Head of Cloud</t>
  </si>
  <si>
    <t xml:space="preserve">Cloud workload migration progress; DR exercise success; data center incidents tracked</t>
  </si>
  <si>
    <t xml:space="preserve">CIO+CISO approved 2025-04-08</t>
  </si>
  <si>
    <t xml:space="preserve">Migrating from data center model to cloud-native. Residual data center workloads being phased out.</t>
  </si>
  <si>
    <t xml:space="preserve">BFS-RISK-2025-0036</t>
  </si>
  <si>
    <t xml:space="preserve">Branch / office physical security incident affecting personnel or operations</t>
  </si>
  <si>
    <t xml:space="preserve">Availability, Confidentiality</t>
  </si>
  <si>
    <t xml:space="preserve">Physical security incident at BFS branches or offices (theft, intrusion, violence, natural disaster) could affect personnel safety, operational continuity, or sensitive document/equipment security resulting in business disruption and potential safety implications.</t>
  </si>
  <si>
    <t xml:space="preserve">Branches; offices; physical documents; personnel; ATM infrastructure</t>
  </si>
  <si>
    <t xml:space="preserve">BFS personnel; customers in branches; branch operations</t>
  </si>
  <si>
    <t xml:space="preserve">Physical (Criminal / Natural / Environmental)</t>
  </si>
  <si>
    <t xml:space="preserve">Distributed branch network; varying physical security maturity; PH typhoon/seismic exposure</t>
  </si>
  <si>
    <t xml:space="preserve">BFS-ISP-026 physical security; CCTV; access control; security personnel; BFS-ISP-011 BCP for branches</t>
  </si>
  <si>
    <t xml:space="preserve">Head of Branch Operations</t>
  </si>
  <si>
    <t xml:space="preserve">Physical operations necessary. Defense via physical security, monitoring, BCP, alternate channels.</t>
  </si>
  <si>
    <t xml:space="preserve">BFS-ISP-026 physical security baseline all branches; CCTV with monitoring; access control; security awareness training per BFS-ISP-014; branch BCP per BFS-ISP-011 including alternate channel availability</t>
  </si>
  <si>
    <t xml:space="preserve">Head of Branch Operations / Head of Physical Security</t>
  </si>
  <si>
    <t xml:space="preserve">Physical security baseline 100% branches; CCTV operational ≥98%; physical incidents tracked and trended</t>
  </si>
  <si>
    <t xml:space="preserve">COO+CISO approved 2025-03-30</t>
  </si>
  <si>
    <t xml:space="preserve">PH location requires typhoon and earthquake preparedness. Branch BCP coordination.</t>
  </si>
  <si>
    <t xml:space="preserve">BFS-RISK-2025-0037</t>
  </si>
  <si>
    <t xml:space="preserve">ATM physical attack (jackpotting, skimming, physical theft)</t>
  </si>
  <si>
    <t xml:space="preserve">BFS ATMs could be targeted by physical attacks including jackpotting (malware via physical access), card skimming, or physical theft of ATM contents resulting in cash loss, customer card data compromise, and operational disruption.</t>
  </si>
  <si>
    <t xml:space="preserve">Threat-Based + ATM Threat Intelligence</t>
  </si>
  <si>
    <t xml:space="preserve">ATM fleet; ATM cash; ATM communication infrastructure; cardholder data</t>
  </si>
  <si>
    <t xml:space="preserve">Customers using affected ATMs; BFS; cardholders generally; PNP</t>
  </si>
  <si>
    <t xml:space="preserve">External Criminal (ATM-Targeting)</t>
  </si>
  <si>
    <t xml:space="preserve">ATMs in distributed locations; physical access by attackers; legacy OS/applications</t>
  </si>
  <si>
    <t xml:space="preserve">ATM physical anchoring; tamper detection; encrypted PIN pads; CCTV; cash-in-transit security</t>
  </si>
  <si>
    <t xml:space="preserve">Head of ATM Operations</t>
  </si>
  <si>
    <t xml:space="preserve">ATM channel essential. Defense via physical security, anti-tampering, monitoring, response.</t>
  </si>
  <si>
    <t xml:space="preserve">ATM jackpotting prevention controls (BIOS lock, application whitelisting, integrity monitoring); enhanced anti-skimming; integrated CCTV; rapid incident response procedures; cash-in-transit security per BFS-ISP-026</t>
  </si>
  <si>
    <t xml:space="preserve">Head of ATM Operations / Head of Physical Security</t>
  </si>
  <si>
    <t xml:space="preserve">ATM jackpotting controls deployed 100%; anti-skimming verified; CCTV operational ≥98%; mean time to incident response ≤30 min</t>
  </si>
  <si>
    <t xml:space="preserve">COO+CISO approved 2025-04-05</t>
  </si>
  <si>
    <t xml:space="preserve">Coordinate with cash management vendors. PNP coordination for incident response.</t>
  </si>
  <si>
    <t xml:space="preserve">BFS-RISK-2025-0038</t>
  </si>
  <si>
    <t xml:space="preserve">Cross-border data transfer non-compliance with RA 10173</t>
  </si>
  <si>
    <t xml:space="preserve">Data Privacy Risk</t>
  </si>
  <si>
    <t xml:space="preserve">BFS could transfer personal data outside Philippines without adequate safeguards or consent resulting in RA 10173 §21 cross-border data transfer violation, NPC enforcement, and potential operational restriction.</t>
  </si>
  <si>
    <t xml:space="preserve">Personal data subject to cross-border transfer; cloud workloads; vendor processing</t>
  </si>
  <si>
    <t xml:space="preserve">Affected data subjects; NPC; foreign data importers</t>
  </si>
  <si>
    <t xml:space="preserve">Regulatory (NPC / RA 10173)</t>
  </si>
  <si>
    <t xml:space="preserve">Cloud and SaaS use frequently entails cross-border processing; consent and safeguard documentation gaps</t>
  </si>
  <si>
    <t xml:space="preserve">BFS-ISP-003 data classification; partial cross-border data inventory; some standard contractual clauses</t>
  </si>
  <si>
    <t xml:space="preserve">Cross-border processing necessary for cloud strategy. Compliance via inventory, contracts, consent.</t>
  </si>
  <si>
    <t xml:space="preserve">Cross-border data inventory complete; standard contractual clauses (SCCs) with all foreign processors; consent management per data category; NPC notification where required; data residency options for sensitive categories</t>
  </si>
  <si>
    <t xml:space="preserve">DPO / Head of Cloud / Legal</t>
  </si>
  <si>
    <t xml:space="preserve">Cross-border inventory complete; SCC coverage 100%; consent management operational</t>
  </si>
  <si>
    <t xml:space="preserve">DPO+CISO+CCO approved 2025-04-10</t>
  </si>
  <si>
    <t xml:space="preserve">NPC issuing further guidance on cross-border. Coordinate with cloud strategy team.</t>
  </si>
  <si>
    <t xml:space="preserve">BFS-RISK-2025-0039</t>
  </si>
  <si>
    <t xml:space="preserve">Insufficient data subject rights operationalization</t>
  </si>
  <si>
    <t xml:space="preserve">BFS could fail to operationalize data subject rights (access, correction, erasure, portability) within RA 10173 timeframes resulting in NPC complaints, enforcement, and required remediation.</t>
  </si>
  <si>
    <t xml:space="preserve">Compliance-Based + RA 10173 §16</t>
  </si>
  <si>
    <t xml:space="preserve">Data subject rights processes; customer service; data inventory; technical capability for rights fulfillment</t>
  </si>
  <si>
    <t xml:space="preserve">Data subjects; NPC; customer service; technical teams</t>
  </si>
  <si>
    <t xml:space="preserve">Regulatory (NPC Complaints)</t>
  </si>
  <si>
    <t xml:space="preserve">Data spread across systems; rights fulfillment automation maturity; 30-day response timing</t>
  </si>
  <si>
    <t xml:space="preserve">Data subject request process; partial automation; manual investigation for complex cases</t>
  </si>
  <si>
    <t xml:space="preserve">RA 10173 mandates rights fulfillment. Operational maturity required.</t>
  </si>
  <si>
    <t xml:space="preserve">Data subject rights portal; automated request fulfillment for standard cases; data inventory maintained current; trained customer service per BFS-ISP-014; SLA tracking for compliance with 30-day response</t>
  </si>
  <si>
    <t xml:space="preserve">DPO / Head of Customer Service / Head of Engineering</t>
  </si>
  <si>
    <t xml:space="preserve">Response within 30 days ≥99%; portal completion rate ≥85%; complaints to NPC ≤3/year</t>
  </si>
  <si>
    <t xml:space="preserve">DPO+CCO approved 2025-04-08</t>
  </si>
  <si>
    <t xml:space="preserve">Customer experience emphasis equally important to compliance.</t>
  </si>
  <si>
    <t xml:space="preserve">BFS-RISK-2025-0040</t>
  </si>
  <si>
    <t xml:space="preserve">Inadequate consent management for personal data processing</t>
  </si>
  <si>
    <t xml:space="preserve">BFS could process personal data without adequate consent or with unclear consent records resulting in RA 10173 violations, customer complaints, and inability to demonstrate lawful basis for processing.</t>
  </si>
  <si>
    <t xml:space="preserve">Compliance-Based + RA 10173 §3, §12</t>
  </si>
  <si>
    <t xml:space="preserve">Consent management systems; processing records; customer onboarding; marketing operations</t>
  </si>
  <si>
    <t xml:space="preserve">Data subjects; NPC; marketing; customer onboarding</t>
  </si>
  <si>
    <t xml:space="preserve">Regulatory (NPC)</t>
  </si>
  <si>
    <t xml:space="preserve">Consent collection across multiple channels; consent withdrawal handling; processing without clear legal basis</t>
  </si>
  <si>
    <t xml:space="preserve">Consent collection at onboarding; partial granular consent; consent withdrawal process</t>
  </si>
  <si>
    <t xml:space="preserve">Consent foundational to RA 10173 compliance. Comprehensive program.</t>
  </si>
  <si>
    <t xml:space="preserve">Granular consent management; consent records with timestamp/version/method; easy withdrawal mechanisms; processing-purpose mapping; legal basis documentation per processing activity</t>
  </si>
  <si>
    <t xml:space="preserve">DPO / Head of Marketing / Head of Customer Onboarding</t>
  </si>
  <si>
    <t xml:space="preserve">Granular consent operational; consent records 100% processing activities; withdrawal SLA met</t>
  </si>
  <si>
    <t xml:space="preserve">DPO+CCO approved 2025-04-12</t>
  </si>
  <si>
    <t xml:space="preserve">NPC audit historically focuses on consent. Marketing implications require coordination.</t>
  </si>
  <si>
    <t xml:space="preserve">BFS-RISK-2025-0041</t>
  </si>
  <si>
    <t xml:space="preserve">Cloud misconfiguration exposing data or services</t>
  </si>
  <si>
    <t xml:space="preserve">Cloud Risk</t>
  </si>
  <si>
    <t xml:space="preserve">BFS cloud resources could be misconfigured exposing data (public S3 buckets, exposed databases) or services resulting in data exposure, RA 10173 implications, and potential exploitation.</t>
  </si>
  <si>
    <t xml:space="preserve">Threat-Based + Cloud Security Assessment + Industry Incidents</t>
  </si>
  <si>
    <t xml:space="preserve">Cloud resources (storage, compute, databases, network); IaC templates; cloud accounts</t>
  </si>
  <si>
    <t xml:space="preserve">Affected data subjects; NPC; BSP; cloud provider</t>
  </si>
  <si>
    <t xml:space="preserve">Negligent Configuration + Adversary Exploitation</t>
  </si>
  <si>
    <t xml:space="preserve">Cloud configuration complexity; default-public on some services; configuration drift</t>
  </si>
  <si>
    <t xml:space="preserve">BFS-ISP-033 cloud security; IaC templates; partial CSPM; configuration scanning</t>
  </si>
  <si>
    <t xml:space="preserve">Cloud strategy essential. Configuration discipline + automation + monitoring.</t>
  </si>
  <si>
    <t xml:space="preserve">BFS-ISP-033 §5.2 IaC mandatory; comprehensive CSPM with auto-remediation; CIS benchmark compliance; quarterly cloud security review; deny-by-default network architecture</t>
  </si>
  <si>
    <t xml:space="preserve">Head of Cloud Engineering / Head of Cloud Security</t>
  </si>
  <si>
    <t xml:space="preserve">CSPM coverage 100%; auto-remediation rate ≥85%; CIS benchmark score ≥90%; cloud misconfiguration incidents ≤5/quarter</t>
  </si>
  <si>
    <t xml:space="preserve">CISO+CIO approved 2025-04-12; Board AC notified</t>
  </si>
  <si>
    <t xml:space="preserve">Industry-wide top cloud risk. CSPM investment ongoing.</t>
  </si>
  <si>
    <t xml:space="preserve">BFS-RISK-2025-0042</t>
  </si>
  <si>
    <t xml:space="preserve">Cloud account compromise via credential or token theft</t>
  </si>
  <si>
    <t xml:space="preserve">BFS cloud accounts (administrative, service accounts) could be compromised through credential theft, token theft, or session hijacking resulting in unauthorized cloud resource access, data exfiltration, or destructive actions.</t>
  </si>
  <si>
    <t xml:space="preserve">Threat-Based + Cloud Threat Intelligence</t>
  </si>
  <si>
    <t xml:space="preserve">Cloud admin accounts; service accounts; API tokens; cloud resources</t>
  </si>
  <si>
    <t xml:space="preserve">BFS personnel; customers (downstream); cloud provider</t>
  </si>
  <si>
    <t xml:space="preserve">External Attacker (Cloud Credential Theft)</t>
  </si>
  <si>
    <t xml:space="preserve">Privileged cloud access; service account credential management; token lifecycle</t>
  </si>
  <si>
    <t xml:space="preserve">BFS-ISP-005 access management; PAM for cloud accounts partial; service account vaulting</t>
  </si>
  <si>
    <t xml:space="preserve">Cloud account compromise potentially catastrophic. Defense via PAM, MFA, monitoring, least privilege.</t>
  </si>
  <si>
    <t xml:space="preserve">PAM coverage 100% cloud admin per BFS-ISP-005 §7; FIDO2 for cloud admin; service account vaulting; short-lived tokens; cloud-native UEBA; quarterly access reviews</t>
  </si>
  <si>
    <t xml:space="preserve">Head of IAM / Head of Cloud Security</t>
  </si>
  <si>
    <t xml:space="preserve">PAM coverage 100% cloud; FIDO2 deployment cloud admin 100%; UEBA detection rate ≥85%</t>
  </si>
  <si>
    <t xml:space="preserve">CISO+CIO approved 2025-04-15; Board AC notified</t>
  </si>
  <si>
    <t xml:space="preserve">Cloud admin credential compromise enables broad blast radius. Investment priority.</t>
  </si>
  <si>
    <t xml:space="preserve">BFS-RISK-2025-0043</t>
  </si>
  <si>
    <t xml:space="preserve">Multi-cloud / SaaS data sprawl and visibility loss</t>
  </si>
  <si>
    <t xml:space="preserve">Data and assets distributed across multiple cloud and SaaS environments could exceed visibility and governance capability resulting in shadow data, ungoverned processing, and inability to support data subject rights or audit requests.</t>
  </si>
  <si>
    <t xml:space="preserve">Threat-Based + Architecture Review</t>
  </si>
  <si>
    <t xml:space="preserve">Multi-cloud and SaaS data; processing inventory; data lineage</t>
  </si>
  <si>
    <t xml:space="preserve">DPO; auditors; CISO Office; data subjects</t>
  </si>
  <si>
    <t xml:space="preserve">Architectural (Distribution Without Governance)</t>
  </si>
  <si>
    <t xml:space="preserve">Cloud/SaaS sprawl; data discovery limitations; shadow IT</t>
  </si>
  <si>
    <t xml:space="preserve">Cloud governance partial; SaaS inventory; data classification per BFS-ISP-003</t>
  </si>
  <si>
    <t xml:space="preserve">Multi-cloud/SaaS strategic but visibility essential. Discovery + governance + consolidation.</t>
  </si>
  <si>
    <t xml:space="preserve">Comprehensive SaaS discovery and inventory; data discovery and classification automation; cloud and SaaS governance framework; consolidation where feasible; data lineage tracking</t>
  </si>
  <si>
    <t xml:space="preserve">CIO / DPO / Head of Cloud / Head of Vendor Management</t>
  </si>
  <si>
    <t xml:space="preserve">SaaS inventory currency ≥98%; data discovery coverage ≥90%; shadow IT identification rate</t>
  </si>
  <si>
    <t xml:space="preserve">CIO+CISO+DPO approved 2025-04-10</t>
  </si>
  <si>
    <t xml:space="preserve">Cloud Center of Excellence governance maturity essential.</t>
  </si>
  <si>
    <t xml:space="preserve">BFS-RISK-2025-0044</t>
  </si>
  <si>
    <t xml:space="preserve">Catastrophic event (typhoon, earthquake, pandemic) affecting operations</t>
  </si>
  <si>
    <t xml:space="preserve">Business Continuity Risk</t>
  </si>
  <si>
    <t xml:space="preserve">Catastrophic event affecting Philippines (major typhoon, earthquake, pandemic) could disrupt BFS personnel availability, physical operations, and infrastructure resulting in extended business disruption requiring full BCP activation per BFS-ISP-011-BCP.</t>
  </si>
  <si>
    <t xml:space="preserve">Threat-Based + Business Impact Analysis</t>
  </si>
  <si>
    <t xml:space="preserve">All BFS operations; personnel; physical infrastructure; supply chain</t>
  </si>
  <si>
    <t xml:space="preserve">All stakeholders</t>
  </si>
  <si>
    <t xml:space="preserve">Natural / Pandemic</t>
  </si>
  <si>
    <t xml:space="preserve">PH geographic exposure (typhoons, earthquakes); concentrated metro operations; pandemic operational dependencies</t>
  </si>
  <si>
    <t xml:space="preserve">BFS-ISP-011 BCP/DRP; remote work capability per BFS-ISP-022; cloud-based operations enabling distributed work</t>
  </si>
  <si>
    <t xml:space="preserve">Chief Operating Officer</t>
  </si>
  <si>
    <t xml:space="preserve">Catastrophic events possible. BCP comprehensive across scenarios.</t>
  </si>
  <si>
    <t xml:space="preserve">BFS-ISP-011 BCP/DRP comprehensive scenarios; quarterly BCP exercise; cloud-first architecture supporting distributed operations; alternate work locations; vendor BCP requirements per BFS-ISP-031; pandemic procedures</t>
  </si>
  <si>
    <t xml:space="preserve">COO / CIO / Head of BCM</t>
  </si>
  <si>
    <t xml:space="preserve">Quarterly BCP exercise success; remote work capability tested; alternate location validated; BCP plan currency</t>
  </si>
  <si>
    <t xml:space="preserve">CEO+COO+CISO approved 2025-04-01; Board AC quarterly reporting</t>
  </si>
  <si>
    <t xml:space="preserve">BSP supervisory expectation for comprehensive BCP. Annual BCP exercise mandatory per BSP.</t>
  </si>
  <si>
    <t xml:space="preserve">BFS-RISK-2025-0045</t>
  </si>
  <si>
    <t xml:space="preserve">Cyber-physical incident at critical Philippine infrastructure (power, telecoms)</t>
  </si>
  <si>
    <t xml:space="preserve">Cyber-physical incident at critical Philippine infrastructure (power grid, telecommunications) could affect BFS operations through dependency on these services resulting in operational disruption beyond BFS direct control.</t>
  </si>
  <si>
    <t xml:space="preserve">Threat-Based + Critical Infrastructure Analysis</t>
  </si>
  <si>
    <t xml:space="preserve">BFS operations dependent on power and telecommunications; communication channels; data center power</t>
  </si>
  <si>
    <t xml:space="preserve">BFS; affected industries; entire Philippine economy</t>
  </si>
  <si>
    <t xml:space="preserve">Critical Infrastructure (Power / Telecommunications)</t>
  </si>
  <si>
    <t xml:space="preserve">External infrastructure dependency; alternative provider limitations</t>
  </si>
  <si>
    <t xml:space="preserve">Backup power (UPS, generator); multiple telecommunications providers; cloud infrastructure providing geographic distribution</t>
  </si>
  <si>
    <t xml:space="preserve">External infrastructure beyond BFS control. Defense via redundancy, BCP, alternative paths.</t>
  </si>
  <si>
    <t xml:space="preserve">Backup power validated; multiple telecommunications providers; cloud-based operations with geographic distribution; BCP scenarios for infrastructure failure; satellite backup considered for tier-1</t>
  </si>
  <si>
    <t xml:space="preserve">Head of Infrastructure / Head of Network</t>
  </si>
  <si>
    <t xml:space="preserve">Backup power tested monthly; telecommunications redundancy validated; BCP scenario exercises</t>
  </si>
  <si>
    <t xml:space="preserve">COO+CIO approved 2025-03-28</t>
  </si>
  <si>
    <t xml:space="preserve">2025-03-28</t>
  </si>
  <si>
    <t xml:space="preserve">PH infrastructure vulnerability inherent. Defense in depth approach.</t>
  </si>
  <si>
    <t xml:space="preserve">BFS RISK MATRIX (5×5) — Likelihood × Impact</t>
  </si>
  <si>
    <t xml:space="preserve">Per BFS-ISMS-003 Section 5</t>
  </si>
  <si>
    <t xml:space="preserve">L
I
K
E
L
I
H
O
O
D</t>
  </si>
  <si>
    <t xml:space="preserve">5 - Almost Certain</t>
  </si>
  <si>
    <t xml:space="preserve">4 - Likely</t>
  </si>
  <si>
    <t xml:space="preserve">3 - Possible</t>
  </si>
  <si>
    <t xml:space="preserve">2 - Unlikely</t>
  </si>
  <si>
    <t xml:space="preserve">1 - Rare</t>
  </si>
  <si>
    <t xml:space="preserve">1
Negligible</t>
  </si>
  <si>
    <t xml:space="preserve">2
Minor</t>
  </si>
  <si>
    <t xml:space="preserve">3
Moderate</t>
  </si>
  <si>
    <t xml:space="preserve">4
Major</t>
  </si>
  <si>
    <t xml:space="preserve">5
Catastrophic</t>
  </si>
  <si>
    <t xml:space="preserve">I M P A C T</t>
  </si>
  <si>
    <t xml:space="preserve">LEGEND</t>
  </si>
  <si>
    <t xml:space="preserve">CRITICAL (15-25)</t>
  </si>
  <si>
    <t xml:space="preserve">UNACCEPTABLE — Immediate treatment required; reduce to HIGH within 90 days; CISO+CIO+CRO+CEO approval</t>
  </si>
  <si>
    <t xml:space="preserve">HIGH (10-14)</t>
  </si>
  <si>
    <t xml:space="preserve">TOLERABLE WITH CONDITIONS — Treatment plan required; quarterly review; CISO+executive risk owner approval</t>
  </si>
  <si>
    <t xml:space="preserve">MEDIUM (5-9)</t>
  </si>
  <si>
    <t xml:space="preserve">ACCEPTABLE WITH CONTROLS — Documented in Risk Register; annual review; risk owner approval</t>
  </si>
  <si>
    <t xml:space="preserve">LOW (1-4)</t>
  </si>
  <si>
    <t xml:space="preserve">ACCEPTABLE — Routine business operations; annual review; risk owner sign-off</t>
  </si>
  <si>
    <t xml:space="preserve">RISK REGISTER DASHBOARD</t>
  </si>
  <si>
    <t xml:space="preserve">Risks by Current Risk Level</t>
  </si>
  <si>
    <t xml:space="preserve">Risks by Category</t>
  </si>
  <si>
    <t xml:space="preserve">Risk Level</t>
  </si>
  <si>
    <t xml:space="preserve">Count</t>
  </si>
  <si>
    <t xml:space="preserve">% of Total</t>
  </si>
  <si>
    <t xml:space="preserve">Color</t>
  </si>
  <si>
    <t xml:space="preserve">Category</t>
  </si>
  <si>
    <t xml:space="preserve">███</t>
  </si>
  <si>
    <t xml:space="preserve">TOTAL</t>
  </si>
  <si>
    <t xml:space="preserve">100.0%</t>
  </si>
  <si>
    <t xml:space="preserve">Risks by Treatment Status</t>
  </si>
  <si>
    <t xml:space="preserve">Risks by Treatment Decision</t>
  </si>
  <si>
    <t xml:space="preserve">Status</t>
  </si>
  <si>
    <t xml:space="preserve">Treatment</t>
  </si>
  <si>
    <t xml:space="preserve">AVOID</t>
  </si>
  <si>
    <t xml:space="preserve">Validated</t>
  </si>
  <si>
    <t xml:space="preserve">TRANSFER</t>
  </si>
  <si>
    <t xml:space="preserve">ACCEPT</t>
  </si>
  <si>
    <t xml:space="preserve">Risk Reduction Summary (Inherent → Current → Target)</t>
  </si>
  <si>
    <t xml:space="preserve">Risk Stage</t>
  </si>
  <si>
    <t xml:space="preserve">Total</t>
  </si>
  <si>
    <t xml:space="preserve">Inherent Risk</t>
  </si>
  <si>
    <t xml:space="preserve">Current Risk (with controls)</t>
  </si>
  <si>
    <t xml:space="preserve">Target Residual Risk</t>
  </si>
  <si>
    <t xml:space="preserve">RISK REGISTER SCHEMA &amp; REFERENCE</t>
  </si>
  <si>
    <t xml:space="preserve">Risk Register Schema (BFS-ISMS-003 §8.1)</t>
  </si>
  <si>
    <t xml:space="preserve">Field</t>
  </si>
  <si>
    <t xml:space="preserve">Source</t>
  </si>
  <si>
    <t xml:space="preserve">Description / Validation</t>
  </si>
  <si>
    <t xml:space="preserve">BFS-ISMS-003 §8.1</t>
  </si>
  <si>
    <t xml:space="preserve">Unique identifier (e.g., BFS-RISK-2025-0001). Persistent across reassessments.</t>
  </si>
  <si>
    <t xml:space="preserve">Short descriptive title. Maximum 120 characters.</t>
  </si>
  <si>
    <t xml:space="preserve">Category for grouping: External Attack / Insider Threat / Third-Party Risk / Compliance Risk / Operational Risk / Emerging-AI Risk / Physical Risk / Data Privacy / Cloud / BCM.</t>
  </si>
  <si>
    <t xml:space="preserve">Schema Extension</t>
  </si>
  <si>
    <t xml:space="preserve">Confidentiality / Integrity / Availability impact dimensions. Multiple values where applicable.</t>
  </si>
  <si>
    <t xml:space="preserve">BFS-ISMS-003 §4.4</t>
  </si>
  <si>
    <t xml:space="preserve">Structured statement: [THREAT] could exploit [VULNERABILITY] affecting [ASSET] resulting in [CONSEQUENCE].</t>
  </si>
  <si>
    <t xml:space="preserve">How identified: Asset-Based / Threat-Based / Scenario-Based / Compliance-Based / Incident-Driven / Audit / Pen Test / Threat Intel.</t>
  </si>
  <si>
    <t xml:space="preserve">Specific BFS assets affected per BFS-ISP-001/002/015/016.</t>
  </si>
  <si>
    <t xml:space="preserve">Per BFS-ISMS-002 Interested Parties Register.</t>
  </si>
  <si>
    <t xml:space="preserve">External Cybercriminal / Nation-State APT / Insider / Vendor / Natural Cause / System Failure / Regulatory / AI System.</t>
  </si>
  <si>
    <t xml:space="preserve">Specific vulnerability or condition enabling the threat.</t>
  </si>
  <si>
    <t xml:space="preserve">Current controls (referenced to BFS-ISP policies and ISO 27001 Annex A).</t>
  </si>
  <si>
    <t xml:space="preserve">Inherent L/I/Score/Level</t>
  </si>
  <si>
    <t xml:space="preserve">BFS-ISMS-003 §5</t>
  </si>
  <si>
    <t xml:space="preserve">Likelihood (1-5) × Impact (1-5) = Score; Level (LOW/MEDIUM/HIGH/CRITICAL). Risk if no controls.</t>
  </si>
  <si>
    <t xml:space="preserve">Current L/I/Score/Level</t>
  </si>
  <si>
    <t xml:space="preserve">Risk with current controls in place. Starting point for treatment decisions.</t>
  </si>
  <si>
    <t xml:space="preserve">Named executive accountable. Cannot be a function or team — must be a named person.</t>
  </si>
  <si>
    <t xml:space="preserve">BFS-ISMS-003 §7.1</t>
  </si>
  <si>
    <t xml:space="preserve">MODIFY / AVOID / TRANSFER / ACCEPT (or combination).</t>
  </si>
  <si>
    <t xml:space="preserve">Documented basis for treatment decision.</t>
  </si>
  <si>
    <t xml:space="preserve">Planned/Selected Controls</t>
  </si>
  <si>
    <t xml:space="preserve">BFS-ISMS-003 §7.2/7.3</t>
  </si>
  <si>
    <t xml:space="preserve">Controls being applied (BFS-ISP + ISO 27001 Annex A references).</t>
  </si>
  <si>
    <t xml:space="preserve">Target Residual L/I/Score/Level</t>
  </si>
  <si>
    <t xml:space="preserve">BFS-ISMS-003 §7.3</t>
  </si>
  <si>
    <t xml:space="preserve">Target residual risk level after treatment.</t>
  </si>
  <si>
    <t xml:space="preserve">Accountable for treatment implementation (typically business unit or IT function).</t>
  </si>
  <si>
    <t xml:space="preserve">Target date for treatment implementation completion.</t>
  </si>
  <si>
    <t xml:space="preserve">Monitoring/Review Frequency</t>
  </si>
  <si>
    <t xml:space="preserve">Per BFS-ISMS-003 §9.1: Monthly (CRITICAL), Quarterly (HIGH), Semi-annually (MEDIUM), Annually (LOW).</t>
  </si>
  <si>
    <t xml:space="preserve">How BFS will verify treatment is working.</t>
  </si>
  <si>
    <t xml:space="preserve">Planned / In Progress / Implemented / Validated.</t>
  </si>
  <si>
    <t xml:space="preserve">BFS-ISMS-003 §7.4/8.1</t>
  </si>
  <si>
    <t xml:space="preserve">Approver, date, conditions per Section 7.4 authority calibration.</t>
  </si>
  <si>
    <t xml:space="preserve">BFS-ISMS-003 §9</t>
  </si>
  <si>
    <t xml:space="preserve">Date of most recent reassessment.</t>
  </si>
  <si>
    <t xml:space="preserve">Active / Accepted / Treated-Closed / Materialized / Superseded.</t>
  </si>
  <si>
    <t xml:space="preserve">Additional context, notes, dependencies, references.</t>
  </si>
  <si>
    <t xml:space="preserve">Likelihood Scale (BFS-ISMS-003 §5.1)</t>
  </si>
  <si>
    <t xml:space="preserve">Score</t>
  </si>
  <si>
    <t xml:space="preserve">Level</t>
  </si>
  <si>
    <t xml:space="preserve">Description</t>
  </si>
  <si>
    <t xml:space="preserve">Almost Certain</t>
  </si>
  <si>
    <t xml:space="preserve">Expected to occur in most circumstances; threat actively targeting; weakness widely exploited; high confidence in occurrence within 12 months</t>
  </si>
  <si>
    <t xml:space="preserve">Likely</t>
  </si>
  <si>
    <t xml:space="preserve">Will probably occur in most circumstances; threat capability and intent confirmed; significant weakness present</t>
  </si>
  <si>
    <t xml:space="preserve">Possible</t>
  </si>
  <si>
    <t xml:space="preserve">Might occur at some time; threat capability exists; some weakness or partial controls</t>
  </si>
  <si>
    <t xml:space="preserve">Unlikely</t>
  </si>
  <si>
    <t xml:space="preserve">Could occur at some time but not expected; threat capability limited or strong controls in place</t>
  </si>
  <si>
    <t xml:space="preserve">Rare</t>
  </si>
  <si>
    <t xml:space="preserve">May occur only in exceptional circumstances; threat capability minimal or controls excellent</t>
  </si>
  <si>
    <t xml:space="preserve">Impact Scale (BFS-ISMS-003 §5.2)</t>
  </si>
  <si>
    <t xml:space="preserve">Catastrophic</t>
  </si>
  <si>
    <t xml:space="preserve">Severe customer trust damage; PHP &gt;500M financial loss; BSP material sanctions / loss of license risk; sustained core operational disruption; existential threat to BFS</t>
  </si>
  <si>
    <t xml:space="preserve">Major</t>
  </si>
  <si>
    <t xml:space="preserve">Significant customer trust damage; PHP 50-500M financial loss; BSP supervisory action; multi-day core operational disruption; material strategic impact</t>
  </si>
  <si>
    <t xml:space="preserve">Moderate</t>
  </si>
  <si>
    <t xml:space="preserve">Localized customer impact; PHP 5-50M financial loss; regulatory examination findings; hours-to-day operational impact; recoverable strategic impact</t>
  </si>
  <si>
    <t xml:space="preserve">Minor</t>
  </si>
  <si>
    <t xml:space="preserve">Limited customer impact; PHP &lt;5M financial loss; minor regulatory observations; brief operational impact; minimal strategic impact</t>
  </si>
  <si>
    <t xml:space="preserve">Negligible</t>
  </si>
  <si>
    <t xml:space="preserve">No material customer impact; immaterial financial loss; no regulatory implications; minimal operational impact; no strategic impact</t>
  </si>
  <si>
    <t xml:space="preserve">Risk Acceptance Criteria (BFS-ISMS-003 §6.2)</t>
  </si>
  <si>
    <t xml:space="preserve">Acceptance Status</t>
  </si>
  <si>
    <t xml:space="preserve">Specific Criteria and Conditions</t>
  </si>
  <si>
    <t xml:space="preserve">UNACCEPTABLE</t>
  </si>
  <si>
    <t xml:space="preserve">No CRITICAL risk shall be retained without active treatment. CRITICAL risks shall be reduced to HIGH or below within 90 days. CISO+CIO+CRO+CEO approval required for temporary residual.</t>
  </si>
  <si>
    <t xml:space="preserve">TOLERABLE WITH CONDITIONS</t>
  </si>
  <si>
    <t xml:space="preserve">Treatment plan documented with specific controls and timelines; compensating controls reduce material exposure; CISO + named executive risk owner approval; quarterly review until reduced.</t>
  </si>
  <si>
    <t xml:space="preserve">ACCEPTABLE WITH CONTROLS</t>
  </si>
  <si>
    <t xml:space="preserve">Appropriate controls in place per BFS-ISP series and ISO 27001 Annex A; residual documented in Risk Register; risk owner approval; semi-annual review.</t>
  </si>
  <si>
    <t xml:space="preserve">ACCEPTABLE</t>
  </si>
  <si>
    <t xml:space="preserve">Acceptable as part of routine business operations. Documentation in Risk Register and annual review sufficient. Risk owner sign-off.</t>
  </si>
  <si>
    <t xml:space="preserve">Risk Treatment Options (BFS-ISMS-003 §7.1)</t>
  </si>
  <si>
    <t xml:space="preserve">Option</t>
  </si>
  <si>
    <t xml:space="preserve">When Selected</t>
  </si>
  <si>
    <t xml:space="preserve">MODIFY (Reduce)</t>
  </si>
  <si>
    <t xml:space="preserve">Apply controls to reduce likelihood, impact, or both — bringing residual risk to acceptable level</t>
  </si>
  <si>
    <t xml:space="preserve">Default option for most risks where suitable controls exist; cost-effective; aligned with ISO 27001 Annex A control framework</t>
  </si>
  <si>
    <t xml:space="preserve">Eliminate the source of risk by ceasing the activity, removing the asset, or restructuring to remove exposure</t>
  </si>
  <si>
    <t xml:space="preserve">Where the activity creating the risk is not essential to BFS purpose; where treatment cost exceeds business value; regulatory or ethical concerns</t>
  </si>
  <si>
    <t xml:space="preserve">Share or transfer the risk to another party — typically through insurance, contractual transfer, or outsourcing</t>
  </si>
  <si>
    <t xml:space="preserve">Where another party is better positioned to manage; where insurance is cost-effective; where regulatory framework supports transfer</t>
  </si>
  <si>
    <t xml:space="preserve">Knowingly retain the risk without further action, with documented acceptance</t>
  </si>
  <si>
    <t xml:space="preserve">Where the risk is within BFS appetite; treatment cost disproportionate to risk reduction; documented acceptance with appropriate authority</t>
  </si>
</sst>
</file>

<file path=xl/styles.xml><?xml version="1.0" encoding="utf-8"?>
<styleSheet xmlns="http://schemas.openxmlformats.org/spreadsheetml/2006/main">
  <numFmts count="3">
    <numFmt numFmtId="164" formatCode="General"/>
    <numFmt numFmtId="165" formatCode="0.0%"/>
    <numFmt numFmtId="166" formatCode="General"/>
  </numFmts>
  <fonts count="21">
    <font>
      <sz val="11"/>
      <color theme="1"/>
      <name val="Calibri"/>
      <family val="2"/>
      <charset val="1"/>
    </font>
    <font>
      <sz val="10"/>
      <name val="Arial"/>
      <family val="0"/>
    </font>
    <font>
      <sz val="10"/>
      <name val="Arial"/>
      <family val="0"/>
    </font>
    <font>
      <sz val="10"/>
      <name val="Arial"/>
      <family val="0"/>
    </font>
    <font>
      <b val="true"/>
      <sz val="12"/>
      <color rgb="FFC8A951"/>
      <name val="Arial"/>
      <family val="0"/>
      <charset val="1"/>
    </font>
    <font>
      <b val="true"/>
      <sz val="32"/>
      <color rgb="FF1B3A6B"/>
      <name val="Arial"/>
      <family val="0"/>
      <charset val="1"/>
    </font>
    <font>
      <sz val="12"/>
      <color rgb="FF2E5FA3"/>
      <name val="Arial"/>
      <family val="0"/>
      <charset val="1"/>
    </font>
    <font>
      <b val="true"/>
      <sz val="10"/>
      <color rgb="FF1B3A6B"/>
      <name val="Arial"/>
      <family val="0"/>
      <charset val="1"/>
    </font>
    <font>
      <sz val="10"/>
      <color rgb="FF000000"/>
      <name val="Arial"/>
      <family val="0"/>
      <charset val="1"/>
    </font>
    <font>
      <i val="true"/>
      <sz val="9"/>
      <color rgb="FF595959"/>
      <name val="Arial"/>
      <family val="0"/>
      <charset val="1"/>
    </font>
    <font>
      <b val="true"/>
      <sz val="14"/>
      <color rgb="FFFFFFFF"/>
      <name val="Arial"/>
      <family val="0"/>
      <charset val="1"/>
    </font>
    <font>
      <b val="true"/>
      <sz val="10"/>
      <color rgb="FFFFFFFF"/>
      <name val="Arial"/>
      <family val="0"/>
      <charset val="1"/>
    </font>
    <font>
      <b val="true"/>
      <sz val="10"/>
      <color rgb="FF000000"/>
      <name val="Arial"/>
      <family val="0"/>
      <charset val="1"/>
    </font>
    <font>
      <i val="true"/>
      <sz val="11"/>
      <color rgb="FF595959"/>
      <name val="Arial"/>
      <family val="0"/>
      <charset val="1"/>
    </font>
    <font>
      <b val="true"/>
      <sz val="11"/>
      <color rgb="FF1B3A6B"/>
      <name val="Arial"/>
      <family val="0"/>
      <charset val="1"/>
    </font>
    <font>
      <b val="true"/>
      <sz val="14"/>
      <color rgb="FF000000"/>
      <name val="Arial"/>
      <family val="0"/>
      <charset val="1"/>
    </font>
    <font>
      <b val="true"/>
      <sz val="11"/>
      <color rgb="FFFFFFFF"/>
      <name val="Arial"/>
      <family val="0"/>
      <charset val="1"/>
    </font>
    <font>
      <b val="true"/>
      <sz val="11"/>
      <color rgb="FF000000"/>
      <name val="Arial"/>
      <family val="0"/>
      <charset val="1"/>
    </font>
    <font>
      <b val="true"/>
      <sz val="11"/>
      <name val="Arial"/>
      <family val="0"/>
      <charset val="1"/>
    </font>
    <font>
      <sz val="11"/>
      <color rgb="FFFFFFFF"/>
      <name val="Arial"/>
      <family val="0"/>
      <charset val="1"/>
    </font>
    <font>
      <sz val="11"/>
      <color rgb="FF000000"/>
      <name val="Arial"/>
      <family val="0"/>
      <charset val="1"/>
    </font>
  </fonts>
  <fills count="9">
    <fill>
      <patternFill patternType="none"/>
    </fill>
    <fill>
      <patternFill patternType="gray125"/>
    </fill>
    <fill>
      <patternFill patternType="solid">
        <fgColor rgb="FF1B3A6B"/>
        <bgColor rgb="FF333399"/>
      </patternFill>
    </fill>
    <fill>
      <patternFill patternType="solid">
        <fgColor rgb="FFD6E4F0"/>
        <bgColor rgb="FFD9D9D9"/>
      </patternFill>
    </fill>
    <fill>
      <patternFill patternType="solid">
        <fgColor rgb="FFC00000"/>
        <bgColor rgb="FF800000"/>
      </patternFill>
    </fill>
    <fill>
      <patternFill patternType="solid">
        <fgColor rgb="FFFFC000"/>
        <bgColor rgb="FFFF9900"/>
      </patternFill>
    </fill>
    <fill>
      <patternFill patternType="solid">
        <fgColor rgb="FFF2F2F2"/>
        <bgColor rgb="FFFFFFFF"/>
      </patternFill>
    </fill>
    <fill>
      <patternFill patternType="solid">
        <fgColor rgb="FFED7D31"/>
        <bgColor rgb="FFFF8080"/>
      </patternFill>
    </fill>
    <fill>
      <patternFill patternType="solid">
        <fgColor rgb="FF70AD47"/>
        <bgColor rgb="FF339966"/>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FFFFFF"/>
      </left>
      <right style="thin">
        <color rgb="FFFFFFFF"/>
      </right>
      <top style="medium">
        <color rgb="FF1B3A6B"/>
      </top>
      <bottom style="medium">
        <color rgb="FF1B3A6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3A6B"/>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C000"/>
          <bgColor rgb="FF000000"/>
        </patternFill>
      </fill>
    </dxf>
    <dxf>
      <fill>
        <patternFill patternType="solid">
          <fgColor rgb="FF70AD47"/>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8A951"/>
      <rgbColor rgb="FF808080"/>
      <rgbColor rgb="FF9999FF"/>
      <rgbColor rgb="FF993366"/>
      <rgbColor rgb="FFF2F2F2"/>
      <rgbColor rgb="FFD6E4F0"/>
      <rgbColor rgb="FF660066"/>
      <rgbColor rgb="FFFF8080"/>
      <rgbColor rgb="FF2E5FA3"/>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70AD47"/>
      <rgbColor rgb="FF1B3A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RiskRegister" displayName="RiskRegister" ref="A3:AJ48" headerRowCount="1" totalsRowCount="0" totalsRowShown="0">
  <autoFilter ref="A3:AJ48"/>
  <tableColumns count="36">
    <tableColumn id="1" name="Risk ID"/>
    <tableColumn id="2" name="Risk Title"/>
    <tableColumn id="3" name="Risk Category"/>
    <tableColumn id="4" name="CIA Classification"/>
    <tableColumn id="5" name="Risk Statement"/>
    <tableColumn id="6" name="Identification Source"/>
    <tableColumn id="7" name="Affected Assets"/>
    <tableColumn id="8" name="Affected Interested Parties"/>
    <tableColumn id="9" name="Threat Source"/>
    <tableColumn id="10" name="Vulnerability"/>
    <tableColumn id="11" name="Existing Controls"/>
    <tableColumn id="12" name="Inherent Likelihood"/>
    <tableColumn id="13" name="Inherent Impact"/>
    <tableColumn id="14" name="Inherent Score"/>
    <tableColumn id="15" name="Inherent Risk Level"/>
    <tableColumn id="16" name="Current Likelihood"/>
    <tableColumn id="17" name="Current Impact"/>
    <tableColumn id="18" name="Current Score"/>
    <tableColumn id="19" name="Current Risk Level"/>
    <tableColumn id="20" name="Risk Owner"/>
    <tableColumn id="21" name="Risk Treatment Decision"/>
    <tableColumn id="22" name="Treatment Rationale"/>
    <tableColumn id="23" name="Planned / Selected Controls"/>
    <tableColumn id="24" name="Target Residual Likelihood"/>
    <tableColumn id="25" name="Target Residual Impact"/>
    <tableColumn id="26" name="Target Residual Score"/>
    <tableColumn id="27" name="Target Residual Risk Level"/>
    <tableColumn id="28" name="Implementation Owner"/>
    <tableColumn id="29" name="Target Completion Date"/>
    <tableColumn id="30" name="Monitoring / Review Frequency"/>
    <tableColumn id="31" name="Effectiveness Measurement"/>
    <tableColumn id="32" name="Treatment Status"/>
    <tableColumn id="33" name="Risk Owner Approval"/>
    <tableColumn id="34" name="Last Reassessment Date"/>
    <tableColumn id="35" name="Risk Status"/>
    <tableColumn id="36" name="Remark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2"/>
  </cols>
  <sheetData>
    <row r="1" customFormat="false" ht="15" hidden="false" customHeight="true" outlineLevel="0" collapsed="false">
      <c r="A1" s="1" t="s">
        <v>0</v>
      </c>
      <c r="B1" s="1"/>
      <c r="C1" s="1"/>
      <c r="D1" s="1"/>
      <c r="E1" s="1"/>
      <c r="F1" s="1"/>
      <c r="G1" s="1"/>
      <c r="H1" s="1"/>
      <c r="I1" s="1"/>
      <c r="J1" s="1"/>
    </row>
    <row r="2" customFormat="false" ht="15" hidden="false" customHeight="false" outlineLevel="0" collapsed="false">
      <c r="A2" s="1"/>
      <c r="B2" s="1"/>
      <c r="C2" s="1"/>
      <c r="D2" s="1"/>
      <c r="E2" s="1"/>
      <c r="F2" s="1"/>
      <c r="G2" s="1"/>
      <c r="H2" s="1"/>
      <c r="I2" s="1"/>
      <c r="J2" s="1"/>
    </row>
    <row r="3" customFormat="false" ht="15" hidden="false" customHeight="false" outlineLevel="0" collapsed="false">
      <c r="A3" s="1"/>
      <c r="B3" s="1"/>
      <c r="C3" s="1"/>
      <c r="D3" s="1"/>
      <c r="E3" s="1"/>
      <c r="F3" s="1"/>
      <c r="G3" s="1"/>
      <c r="H3" s="1"/>
      <c r="I3" s="1"/>
      <c r="J3" s="1"/>
    </row>
    <row r="5" customFormat="false" ht="15" hidden="false" customHeight="true" outlineLevel="0" collapsed="false">
      <c r="A5" s="2" t="s">
        <v>1</v>
      </c>
      <c r="B5" s="2"/>
      <c r="C5" s="2"/>
      <c r="D5" s="2"/>
      <c r="E5" s="2"/>
      <c r="F5" s="2"/>
      <c r="G5" s="2"/>
      <c r="H5" s="2"/>
      <c r="I5" s="2"/>
      <c r="J5" s="2"/>
    </row>
    <row r="6" customFormat="false" ht="15" hidden="false" customHeight="false" outlineLevel="0" collapsed="false">
      <c r="A6" s="2"/>
      <c r="B6" s="2"/>
      <c r="C6" s="2"/>
      <c r="D6" s="2"/>
      <c r="E6" s="2"/>
      <c r="F6" s="2"/>
      <c r="G6" s="2"/>
      <c r="H6" s="2"/>
      <c r="I6" s="2"/>
      <c r="J6" s="2"/>
    </row>
    <row r="7" customFormat="false" ht="15" hidden="false" customHeight="false" outlineLevel="0" collapsed="false">
      <c r="A7" s="2"/>
      <c r="B7" s="2"/>
      <c r="C7" s="2"/>
      <c r="D7" s="2"/>
      <c r="E7" s="2"/>
      <c r="F7" s="2"/>
      <c r="G7" s="2"/>
      <c r="H7" s="2"/>
      <c r="I7" s="2"/>
      <c r="J7" s="2"/>
    </row>
    <row r="8" customFormat="false" ht="15" hidden="false" customHeight="false" outlineLevel="0" collapsed="false">
      <c r="A8" s="2"/>
      <c r="B8" s="2"/>
      <c r="C8" s="2"/>
      <c r="D8" s="2"/>
      <c r="E8" s="2"/>
      <c r="F8" s="2"/>
      <c r="G8" s="2"/>
      <c r="H8" s="2"/>
      <c r="I8" s="2"/>
      <c r="J8" s="2"/>
    </row>
    <row r="9" customFormat="false" ht="15" hidden="false" customHeight="false" outlineLevel="0" collapsed="false">
      <c r="A9" s="2"/>
      <c r="B9" s="2"/>
      <c r="C9" s="2"/>
      <c r="D9" s="2"/>
      <c r="E9" s="2"/>
      <c r="F9" s="2"/>
      <c r="G9" s="2"/>
      <c r="H9" s="2"/>
      <c r="I9" s="2"/>
      <c r="J9" s="2"/>
    </row>
    <row r="11" customFormat="false" ht="15" hidden="false" customHeight="true" outlineLevel="0" collapsed="false">
      <c r="A11" s="3" t="s">
        <v>2</v>
      </c>
      <c r="B11" s="3"/>
      <c r="C11" s="3"/>
      <c r="D11" s="3"/>
      <c r="E11" s="3"/>
      <c r="F11" s="3"/>
      <c r="G11" s="3"/>
      <c r="H11" s="3"/>
      <c r="I11" s="3"/>
      <c r="J11" s="3"/>
    </row>
    <row r="12" customFormat="false" ht="15" hidden="false" customHeight="false" outlineLevel="0" collapsed="false">
      <c r="A12" s="3"/>
      <c r="B12" s="3"/>
      <c r="C12" s="3"/>
      <c r="D12" s="3"/>
      <c r="E12" s="3"/>
      <c r="F12" s="3"/>
      <c r="G12" s="3"/>
      <c r="H12" s="3"/>
      <c r="I12" s="3"/>
      <c r="J12" s="3"/>
    </row>
    <row r="13" customFormat="false" ht="15" hidden="false" customHeight="false" outlineLevel="0" collapsed="false">
      <c r="A13" s="3"/>
      <c r="B13" s="3"/>
      <c r="C13" s="3"/>
      <c r="D13" s="3"/>
      <c r="E13" s="3"/>
      <c r="F13" s="3"/>
      <c r="G13" s="3"/>
      <c r="H13" s="3"/>
      <c r="I13" s="3"/>
      <c r="J13" s="3"/>
    </row>
    <row r="16" customFormat="false" ht="27.75" hidden="false" customHeight="true" outlineLevel="0" collapsed="false">
      <c r="B16" s="4" t="s">
        <v>3</v>
      </c>
      <c r="C16" s="4"/>
      <c r="D16" s="5" t="s">
        <v>4</v>
      </c>
      <c r="E16" s="5"/>
      <c r="F16" s="5"/>
      <c r="G16" s="5"/>
      <c r="H16" s="5"/>
      <c r="I16" s="5"/>
    </row>
    <row r="17" customFormat="false" ht="27.75" hidden="false" customHeight="true" outlineLevel="0" collapsed="false">
      <c r="B17" s="4" t="s">
        <v>5</v>
      </c>
      <c r="C17" s="4"/>
      <c r="D17" s="5" t="s">
        <v>6</v>
      </c>
      <c r="E17" s="5"/>
      <c r="F17" s="5"/>
      <c r="G17" s="5"/>
      <c r="H17" s="5"/>
      <c r="I17" s="5"/>
    </row>
    <row r="18" customFormat="false" ht="27.75" hidden="false" customHeight="true" outlineLevel="0" collapsed="false">
      <c r="B18" s="4" t="s">
        <v>7</v>
      </c>
      <c r="C18" s="4"/>
      <c r="D18" s="5" t="s">
        <v>8</v>
      </c>
      <c r="E18" s="5"/>
      <c r="F18" s="5"/>
      <c r="G18" s="5"/>
      <c r="H18" s="5"/>
      <c r="I18" s="5"/>
    </row>
    <row r="19" customFormat="false" ht="27.75" hidden="false" customHeight="true" outlineLevel="0" collapsed="false">
      <c r="B19" s="4" t="s">
        <v>9</v>
      </c>
      <c r="C19" s="4"/>
      <c r="D19" s="5" t="s">
        <v>10</v>
      </c>
      <c r="E19" s="5"/>
      <c r="F19" s="5"/>
      <c r="G19" s="5"/>
      <c r="H19" s="5"/>
      <c r="I19" s="5"/>
    </row>
    <row r="20" customFormat="false" ht="27.75" hidden="false" customHeight="true" outlineLevel="0" collapsed="false">
      <c r="B20" s="4" t="s">
        <v>11</v>
      </c>
      <c r="C20" s="4"/>
      <c r="D20" s="5" t="s">
        <v>12</v>
      </c>
      <c r="E20" s="5"/>
      <c r="F20" s="5"/>
      <c r="G20" s="5"/>
      <c r="H20" s="5"/>
      <c r="I20" s="5"/>
    </row>
    <row r="21" customFormat="false" ht="27.75" hidden="false" customHeight="true" outlineLevel="0" collapsed="false">
      <c r="B21" s="4" t="s">
        <v>13</v>
      </c>
      <c r="C21" s="4"/>
      <c r="D21" s="5" t="s">
        <v>14</v>
      </c>
      <c r="E21" s="5"/>
      <c r="F21" s="5"/>
      <c r="G21" s="5"/>
      <c r="H21" s="5"/>
      <c r="I21" s="5"/>
    </row>
    <row r="22" customFormat="false" ht="27.75" hidden="false" customHeight="true" outlineLevel="0" collapsed="false">
      <c r="B22" s="4" t="s">
        <v>15</v>
      </c>
      <c r="C22" s="4"/>
      <c r="D22" s="5" t="s">
        <v>16</v>
      </c>
      <c r="E22" s="5"/>
      <c r="F22" s="5"/>
      <c r="G22" s="5"/>
      <c r="H22" s="5"/>
      <c r="I22" s="5"/>
    </row>
    <row r="23" customFormat="false" ht="27.75" hidden="false" customHeight="true" outlineLevel="0" collapsed="false">
      <c r="B23" s="4" t="s">
        <v>17</v>
      </c>
      <c r="C23" s="4"/>
      <c r="D23" s="5" t="s">
        <v>18</v>
      </c>
      <c r="E23" s="5"/>
      <c r="F23" s="5"/>
      <c r="G23" s="5"/>
      <c r="H23" s="5"/>
      <c r="I23" s="5"/>
    </row>
    <row r="24" customFormat="false" ht="27.75" hidden="false" customHeight="true" outlineLevel="0" collapsed="false">
      <c r="B24" s="4" t="s">
        <v>19</v>
      </c>
      <c r="C24" s="4"/>
      <c r="D24" s="5" t="s">
        <v>20</v>
      </c>
      <c r="E24" s="5"/>
      <c r="F24" s="5"/>
      <c r="G24" s="5"/>
      <c r="H24" s="5"/>
      <c r="I24" s="5"/>
    </row>
    <row r="25" customFormat="false" ht="27.75" hidden="false" customHeight="true" outlineLevel="0" collapsed="false">
      <c r="B25" s="4" t="s">
        <v>21</v>
      </c>
      <c r="C25" s="4"/>
      <c r="D25" s="5" t="s">
        <v>22</v>
      </c>
      <c r="E25" s="5"/>
      <c r="F25" s="5"/>
      <c r="G25" s="5"/>
      <c r="H25" s="5"/>
      <c r="I25" s="5"/>
    </row>
    <row r="26" customFormat="false" ht="27.75" hidden="false" customHeight="true" outlineLevel="0" collapsed="false">
      <c r="B26" s="4" t="s">
        <v>23</v>
      </c>
      <c r="C26" s="4"/>
      <c r="D26" s="5" t="s">
        <v>24</v>
      </c>
      <c r="E26" s="5"/>
      <c r="F26" s="5"/>
      <c r="G26" s="5"/>
      <c r="H26" s="5"/>
      <c r="I26" s="5"/>
    </row>
    <row r="27" customFormat="false" ht="27.75" hidden="false" customHeight="true" outlineLevel="0" collapsed="false">
      <c r="B27" s="4" t="s">
        <v>25</v>
      </c>
      <c r="C27" s="4"/>
      <c r="D27" s="5" t="s">
        <v>26</v>
      </c>
      <c r="E27" s="5"/>
      <c r="F27" s="5"/>
      <c r="G27" s="5"/>
      <c r="H27" s="5"/>
      <c r="I27" s="5"/>
    </row>
    <row r="28" customFormat="false" ht="27.75" hidden="false" customHeight="true" outlineLevel="0" collapsed="false">
      <c r="B28" s="4" t="s">
        <v>27</v>
      </c>
      <c r="C28" s="4"/>
      <c r="D28" s="5" t="s">
        <v>28</v>
      </c>
      <c r="E28" s="5"/>
      <c r="F28" s="5"/>
      <c r="G28" s="5"/>
      <c r="H28" s="5"/>
      <c r="I28" s="5"/>
    </row>
    <row r="32" customFormat="false" ht="15" hidden="false" customHeight="true" outlineLevel="0" collapsed="false">
      <c r="A32" s="6" t="s">
        <v>29</v>
      </c>
      <c r="B32" s="6"/>
      <c r="C32" s="6"/>
      <c r="D32" s="6"/>
      <c r="E32" s="6"/>
      <c r="F32" s="6"/>
      <c r="G32" s="6"/>
      <c r="H32" s="6"/>
      <c r="I32" s="6"/>
      <c r="J32" s="6"/>
    </row>
  </sheetData>
  <mergeCells count="30">
    <mergeCell ref="A1:J3"/>
    <mergeCell ref="A5:J9"/>
    <mergeCell ref="A11:J13"/>
    <mergeCell ref="B16:C16"/>
    <mergeCell ref="D16:I16"/>
    <mergeCell ref="B17:C17"/>
    <mergeCell ref="D17:I17"/>
    <mergeCell ref="B18:C18"/>
    <mergeCell ref="D18:I18"/>
    <mergeCell ref="B19:C19"/>
    <mergeCell ref="D19:I19"/>
    <mergeCell ref="B20:C20"/>
    <mergeCell ref="D20:I20"/>
    <mergeCell ref="B21:C21"/>
    <mergeCell ref="D21:I21"/>
    <mergeCell ref="B22:C22"/>
    <mergeCell ref="D22:I22"/>
    <mergeCell ref="B23:C23"/>
    <mergeCell ref="D23:I23"/>
    <mergeCell ref="B24:C24"/>
    <mergeCell ref="D24:I24"/>
    <mergeCell ref="B25:C25"/>
    <mergeCell ref="D25:I25"/>
    <mergeCell ref="B26:C26"/>
    <mergeCell ref="D26:I26"/>
    <mergeCell ref="B27:C27"/>
    <mergeCell ref="D27:I27"/>
    <mergeCell ref="B28:C28"/>
    <mergeCell ref="D28:I28"/>
    <mergeCell ref="A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5"/>
    <col collapsed="false" customWidth="true" hidden="false" outlineLevel="0" max="3" min="3" style="0" width="18"/>
    <col collapsed="false" customWidth="true" hidden="false" outlineLevel="0" max="4" min="4" style="0" width="22"/>
    <col collapsed="false" customWidth="true" hidden="false" outlineLevel="0" max="5" min="5" style="0" width="60"/>
    <col collapsed="false" customWidth="true" hidden="false" outlineLevel="0" max="6" min="6" style="0" width="22"/>
    <col collapsed="false" customWidth="true" hidden="false" outlineLevel="0" max="7" min="7" style="0" width="35"/>
    <col collapsed="false" customWidth="true" hidden="false" outlineLevel="0" max="8" min="8" style="0" width="30"/>
    <col collapsed="false" customWidth="true" hidden="false" outlineLevel="0" max="9" min="9" style="0" width="25"/>
    <col collapsed="false" customWidth="true" hidden="false" outlineLevel="0" max="10" min="10" style="0" width="35"/>
    <col collapsed="false" customWidth="true" hidden="false" outlineLevel="0" max="11" min="11" style="0" width="40"/>
    <col collapsed="false" customWidth="true" hidden="false" outlineLevel="0" max="13" min="12" style="0" width="12"/>
    <col collapsed="false" customWidth="true" hidden="false" outlineLevel="0" max="14" min="14" style="0" width="10"/>
    <col collapsed="false" customWidth="true" hidden="false" outlineLevel="0" max="15" min="15" style="0" width="14"/>
    <col collapsed="false" customWidth="true" hidden="false" outlineLevel="0" max="17" min="16" style="0" width="12"/>
    <col collapsed="false" customWidth="true" hidden="false" outlineLevel="0" max="18" min="18" style="0" width="10"/>
    <col collapsed="false" customWidth="true" hidden="false" outlineLevel="0" max="19" min="19" style="0" width="14"/>
    <col collapsed="false" customWidth="true" hidden="false" outlineLevel="0" max="20" min="20" style="0" width="28"/>
    <col collapsed="false" customWidth="true" hidden="false" outlineLevel="0" max="21" min="21" style="0" width="18"/>
    <col collapsed="false" customWidth="true" hidden="false" outlineLevel="0" max="22" min="22" style="0" width="40"/>
    <col collapsed="false" customWidth="true" hidden="false" outlineLevel="0" max="23" min="23" style="0" width="50"/>
    <col collapsed="false" customWidth="true" hidden="false" outlineLevel="0" max="25" min="24" style="0" width="14"/>
    <col collapsed="false" customWidth="true" hidden="false" outlineLevel="0" max="26" min="26" style="0" width="12"/>
    <col collapsed="false" customWidth="true" hidden="false" outlineLevel="0" max="27" min="27" style="0" width="16"/>
    <col collapsed="false" customWidth="true" hidden="false" outlineLevel="0" max="28" min="28" style="0" width="28"/>
    <col collapsed="false" customWidth="true" hidden="false" outlineLevel="0" max="29" min="29" style="0" width="16"/>
    <col collapsed="false" customWidth="true" hidden="false" outlineLevel="0" max="30" min="30" style="0" width="18"/>
    <col collapsed="false" customWidth="true" hidden="false" outlineLevel="0" max="31" min="31" style="0" width="40"/>
    <col collapsed="false" customWidth="true" hidden="false" outlineLevel="0" max="32" min="32" style="0" width="14"/>
    <col collapsed="false" customWidth="true" hidden="false" outlineLevel="0" max="33" min="33" style="0" width="30"/>
    <col collapsed="false" customWidth="true" hidden="false" outlineLevel="0" max="35" min="34" style="0" width="14"/>
    <col collapsed="false" customWidth="true" hidden="false" outlineLevel="0" max="36" min="36" style="0" width="40"/>
  </cols>
  <sheetData>
    <row r="1" customFormat="false" ht="27.75" hidden="false" customHeight="true" outlineLevel="0" collapsed="false">
      <c r="A1" s="7" t="s">
        <v>30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3" customFormat="false" ht="39.75" hidden="false" customHeight="true" outlineLevel="0" collapsed="false">
      <c r="A3" s="8" t="s">
        <v>31</v>
      </c>
      <c r="B3" s="8" t="s">
        <v>32</v>
      </c>
      <c r="C3" s="8" t="s">
        <v>33</v>
      </c>
      <c r="D3" s="8" t="s">
        <v>34</v>
      </c>
      <c r="E3" s="8" t="s">
        <v>35</v>
      </c>
      <c r="F3" s="8" t="s">
        <v>36</v>
      </c>
      <c r="G3" s="8" t="s">
        <v>37</v>
      </c>
      <c r="H3" s="8" t="s">
        <v>38</v>
      </c>
      <c r="I3" s="8" t="s">
        <v>39</v>
      </c>
      <c r="J3" s="8" t="s">
        <v>40</v>
      </c>
      <c r="K3" s="8" t="s">
        <v>41</v>
      </c>
      <c r="L3" s="8" t="s">
        <v>42</v>
      </c>
      <c r="M3" s="8" t="s">
        <v>43</v>
      </c>
      <c r="N3" s="8" t="s">
        <v>44</v>
      </c>
      <c r="O3" s="8" t="s">
        <v>45</v>
      </c>
      <c r="P3" s="8" t="s">
        <v>46</v>
      </c>
      <c r="Q3" s="8" t="s">
        <v>47</v>
      </c>
      <c r="R3" s="8" t="s">
        <v>48</v>
      </c>
      <c r="S3" s="8" t="s">
        <v>49</v>
      </c>
      <c r="T3" s="8" t="s">
        <v>50</v>
      </c>
      <c r="U3" s="8" t="s">
        <v>51</v>
      </c>
      <c r="V3" s="8" t="s">
        <v>52</v>
      </c>
      <c r="W3" s="8" t="s">
        <v>53</v>
      </c>
      <c r="X3" s="8" t="s">
        <v>54</v>
      </c>
      <c r="Y3" s="8" t="s">
        <v>55</v>
      </c>
      <c r="Z3" s="8" t="s">
        <v>56</v>
      </c>
      <c r="AA3" s="8" t="s">
        <v>57</v>
      </c>
      <c r="AB3" s="8" t="s">
        <v>58</v>
      </c>
      <c r="AC3" s="8" t="s">
        <v>59</v>
      </c>
      <c r="AD3" s="8" t="s">
        <v>60</v>
      </c>
      <c r="AE3" s="8" t="s">
        <v>61</v>
      </c>
      <c r="AF3" s="8" t="s">
        <v>62</v>
      </c>
      <c r="AG3" s="8" t="s">
        <v>63</v>
      </c>
      <c r="AH3" s="8" t="s">
        <v>64</v>
      </c>
      <c r="AI3" s="8" t="s">
        <v>65</v>
      </c>
      <c r="AJ3" s="8" t="s">
        <v>66</v>
      </c>
    </row>
    <row r="4" customFormat="false" ht="94.5" hidden="false" customHeight="true" outlineLevel="0" collapsed="false">
      <c r="A4" s="9" t="s">
        <v>67</v>
      </c>
      <c r="B4" s="10" t="s">
        <v>68</v>
      </c>
      <c r="C4" s="10" t="s">
        <v>69</v>
      </c>
      <c r="D4" s="10" t="s">
        <v>70</v>
      </c>
      <c r="E4" s="10" t="s">
        <v>71</v>
      </c>
      <c r="F4" s="10" t="s">
        <v>72</v>
      </c>
      <c r="G4" s="10" t="s">
        <v>73</v>
      </c>
      <c r="H4" s="10" t="s">
        <v>74</v>
      </c>
      <c r="I4" s="10" t="s">
        <v>75</v>
      </c>
      <c r="J4" s="10" t="s">
        <v>76</v>
      </c>
      <c r="K4" s="10" t="s">
        <v>77</v>
      </c>
      <c r="L4" s="9" t="n">
        <v>4</v>
      </c>
      <c r="M4" s="9" t="n">
        <v>5</v>
      </c>
      <c r="N4" s="9" t="n">
        <v>20</v>
      </c>
      <c r="O4" s="11" t="s">
        <v>78</v>
      </c>
      <c r="P4" s="9" t="n">
        <v>4</v>
      </c>
      <c r="Q4" s="9" t="n">
        <v>5</v>
      </c>
      <c r="R4" s="9" t="n">
        <v>20</v>
      </c>
      <c r="S4" s="11" t="s">
        <v>78</v>
      </c>
      <c r="T4" s="10" t="s">
        <v>79</v>
      </c>
      <c r="U4" s="9" t="s">
        <v>80</v>
      </c>
      <c r="V4" s="10" t="s">
        <v>81</v>
      </c>
      <c r="W4" s="10" t="s">
        <v>82</v>
      </c>
      <c r="X4" s="9" t="n">
        <v>2</v>
      </c>
      <c r="Y4" s="9" t="n">
        <v>3</v>
      </c>
      <c r="Z4" s="9" t="n">
        <v>6</v>
      </c>
      <c r="AA4" s="12" t="s">
        <v>83</v>
      </c>
      <c r="AB4" s="10" t="s">
        <v>84</v>
      </c>
      <c r="AC4" s="9" t="s">
        <v>85</v>
      </c>
      <c r="AD4" s="9" t="s">
        <v>86</v>
      </c>
      <c r="AE4" s="10" t="s">
        <v>87</v>
      </c>
      <c r="AF4" s="9" t="s">
        <v>88</v>
      </c>
      <c r="AG4" s="10" t="s">
        <v>89</v>
      </c>
      <c r="AH4" s="9" t="s">
        <v>90</v>
      </c>
      <c r="AI4" s="9" t="s">
        <v>91</v>
      </c>
      <c r="AJ4" s="10" t="s">
        <v>92</v>
      </c>
    </row>
    <row r="5" customFormat="false" ht="94.5" hidden="false" customHeight="true" outlineLevel="0" collapsed="false">
      <c r="A5" s="13" t="s">
        <v>93</v>
      </c>
      <c r="B5" s="14" t="s">
        <v>94</v>
      </c>
      <c r="C5" s="14" t="s">
        <v>69</v>
      </c>
      <c r="D5" s="14" t="s">
        <v>95</v>
      </c>
      <c r="E5" s="14" t="s">
        <v>96</v>
      </c>
      <c r="F5" s="14" t="s">
        <v>97</v>
      </c>
      <c r="G5" s="14" t="s">
        <v>98</v>
      </c>
      <c r="H5" s="14" t="s">
        <v>99</v>
      </c>
      <c r="I5" s="14" t="s">
        <v>100</v>
      </c>
      <c r="J5" s="14" t="s">
        <v>101</v>
      </c>
      <c r="K5" s="14" t="s">
        <v>102</v>
      </c>
      <c r="L5" s="13" t="n">
        <v>5</v>
      </c>
      <c r="M5" s="13" t="n">
        <v>4</v>
      </c>
      <c r="N5" s="13" t="n">
        <v>20</v>
      </c>
      <c r="O5" s="11" t="s">
        <v>78</v>
      </c>
      <c r="P5" s="13" t="n">
        <v>4</v>
      </c>
      <c r="Q5" s="13" t="n">
        <v>4</v>
      </c>
      <c r="R5" s="13" t="n">
        <v>16</v>
      </c>
      <c r="S5" s="11" t="s">
        <v>78</v>
      </c>
      <c r="T5" s="14" t="s">
        <v>103</v>
      </c>
      <c r="U5" s="13" t="s">
        <v>80</v>
      </c>
      <c r="V5" s="14" t="s">
        <v>104</v>
      </c>
      <c r="W5" s="14" t="s">
        <v>105</v>
      </c>
      <c r="X5" s="13" t="n">
        <v>3</v>
      </c>
      <c r="Y5" s="13" t="n">
        <v>3</v>
      </c>
      <c r="Z5" s="13" t="n">
        <v>9</v>
      </c>
      <c r="AA5" s="12" t="s">
        <v>83</v>
      </c>
      <c r="AB5" s="14" t="s">
        <v>106</v>
      </c>
      <c r="AC5" s="13" t="s">
        <v>107</v>
      </c>
      <c r="AD5" s="13" t="s">
        <v>108</v>
      </c>
      <c r="AE5" s="14" t="s">
        <v>109</v>
      </c>
      <c r="AF5" s="13" t="s">
        <v>88</v>
      </c>
      <c r="AG5" s="14" t="s">
        <v>110</v>
      </c>
      <c r="AH5" s="13" t="s">
        <v>111</v>
      </c>
      <c r="AI5" s="13" t="s">
        <v>91</v>
      </c>
      <c r="AJ5" s="14" t="s">
        <v>112</v>
      </c>
    </row>
    <row r="6" customFormat="false" ht="94.5" hidden="false" customHeight="true" outlineLevel="0" collapsed="false">
      <c r="A6" s="9" t="s">
        <v>113</v>
      </c>
      <c r="B6" s="10" t="s">
        <v>114</v>
      </c>
      <c r="C6" s="10" t="s">
        <v>69</v>
      </c>
      <c r="D6" s="10" t="s">
        <v>115</v>
      </c>
      <c r="E6" s="10" t="s">
        <v>116</v>
      </c>
      <c r="F6" s="10" t="s">
        <v>117</v>
      </c>
      <c r="G6" s="10" t="s">
        <v>118</v>
      </c>
      <c r="H6" s="10" t="s">
        <v>119</v>
      </c>
      <c r="I6" s="10" t="s">
        <v>120</v>
      </c>
      <c r="J6" s="10" t="s">
        <v>121</v>
      </c>
      <c r="K6" s="10" t="s">
        <v>122</v>
      </c>
      <c r="L6" s="9" t="n">
        <v>4</v>
      </c>
      <c r="M6" s="9" t="n">
        <v>4</v>
      </c>
      <c r="N6" s="9" t="n">
        <v>16</v>
      </c>
      <c r="O6" s="11" t="s">
        <v>78</v>
      </c>
      <c r="P6" s="9" t="n">
        <v>3</v>
      </c>
      <c r="Q6" s="9" t="n">
        <v>3</v>
      </c>
      <c r="R6" s="9" t="n">
        <v>9</v>
      </c>
      <c r="S6" s="12" t="s">
        <v>83</v>
      </c>
      <c r="T6" s="10" t="s">
        <v>123</v>
      </c>
      <c r="U6" s="9" t="s">
        <v>80</v>
      </c>
      <c r="V6" s="10" t="s">
        <v>124</v>
      </c>
      <c r="W6" s="10" t="s">
        <v>125</v>
      </c>
      <c r="X6" s="9" t="n">
        <v>2</v>
      </c>
      <c r="Y6" s="9" t="n">
        <v>3</v>
      </c>
      <c r="Z6" s="9" t="n">
        <v>6</v>
      </c>
      <c r="AA6" s="12" t="s">
        <v>83</v>
      </c>
      <c r="AB6" s="10" t="s">
        <v>126</v>
      </c>
      <c r="AC6" s="9" t="s">
        <v>127</v>
      </c>
      <c r="AD6" s="9" t="s">
        <v>128</v>
      </c>
      <c r="AE6" s="10" t="s">
        <v>129</v>
      </c>
      <c r="AF6" s="9" t="s">
        <v>130</v>
      </c>
      <c r="AG6" s="10" t="s">
        <v>131</v>
      </c>
      <c r="AH6" s="9" t="s">
        <v>132</v>
      </c>
      <c r="AI6" s="9" t="s">
        <v>91</v>
      </c>
      <c r="AJ6" s="10" t="s">
        <v>133</v>
      </c>
    </row>
    <row r="7" customFormat="false" ht="94.5" hidden="false" customHeight="true" outlineLevel="0" collapsed="false">
      <c r="A7" s="13" t="s">
        <v>134</v>
      </c>
      <c r="B7" s="14" t="s">
        <v>135</v>
      </c>
      <c r="C7" s="14" t="s">
        <v>69</v>
      </c>
      <c r="D7" s="14" t="s">
        <v>136</v>
      </c>
      <c r="E7" s="14" t="s">
        <v>137</v>
      </c>
      <c r="F7" s="14" t="s">
        <v>138</v>
      </c>
      <c r="G7" s="14" t="s">
        <v>139</v>
      </c>
      <c r="H7" s="14" t="s">
        <v>140</v>
      </c>
      <c r="I7" s="14" t="s">
        <v>141</v>
      </c>
      <c r="J7" s="14" t="s">
        <v>142</v>
      </c>
      <c r="K7" s="14" t="s">
        <v>143</v>
      </c>
      <c r="L7" s="13" t="n">
        <v>5</v>
      </c>
      <c r="M7" s="13" t="n">
        <v>4</v>
      </c>
      <c r="N7" s="13" t="n">
        <v>20</v>
      </c>
      <c r="O7" s="11" t="s">
        <v>78</v>
      </c>
      <c r="P7" s="13" t="n">
        <v>4</v>
      </c>
      <c r="Q7" s="13" t="n">
        <v>3</v>
      </c>
      <c r="R7" s="13" t="n">
        <v>12</v>
      </c>
      <c r="S7" s="15" t="s">
        <v>144</v>
      </c>
      <c r="T7" s="14" t="s">
        <v>145</v>
      </c>
      <c r="U7" s="13" t="s">
        <v>80</v>
      </c>
      <c r="V7" s="14" t="s">
        <v>146</v>
      </c>
      <c r="W7" s="14" t="s">
        <v>147</v>
      </c>
      <c r="X7" s="13" t="n">
        <v>3</v>
      </c>
      <c r="Y7" s="13" t="n">
        <v>2</v>
      </c>
      <c r="Z7" s="13" t="n">
        <v>6</v>
      </c>
      <c r="AA7" s="12" t="s">
        <v>83</v>
      </c>
      <c r="AB7" s="14" t="s">
        <v>148</v>
      </c>
      <c r="AC7" s="13" t="s">
        <v>149</v>
      </c>
      <c r="AD7" s="13" t="s">
        <v>108</v>
      </c>
      <c r="AE7" s="14" t="s">
        <v>150</v>
      </c>
      <c r="AF7" s="13" t="s">
        <v>88</v>
      </c>
      <c r="AG7" s="14" t="s">
        <v>151</v>
      </c>
      <c r="AH7" s="13" t="s">
        <v>152</v>
      </c>
      <c r="AI7" s="13" t="s">
        <v>91</v>
      </c>
      <c r="AJ7" s="14" t="s">
        <v>153</v>
      </c>
    </row>
    <row r="8" customFormat="false" ht="94.5" hidden="false" customHeight="true" outlineLevel="0" collapsed="false">
      <c r="A8" s="9" t="s">
        <v>154</v>
      </c>
      <c r="B8" s="10" t="s">
        <v>155</v>
      </c>
      <c r="C8" s="10" t="s">
        <v>69</v>
      </c>
      <c r="D8" s="10" t="s">
        <v>136</v>
      </c>
      <c r="E8" s="10" t="s">
        <v>156</v>
      </c>
      <c r="F8" s="10" t="s">
        <v>157</v>
      </c>
      <c r="G8" s="10" t="s">
        <v>158</v>
      </c>
      <c r="H8" s="10" t="s">
        <v>159</v>
      </c>
      <c r="I8" s="10" t="s">
        <v>160</v>
      </c>
      <c r="J8" s="10" t="s">
        <v>161</v>
      </c>
      <c r="K8" s="10" t="s">
        <v>162</v>
      </c>
      <c r="L8" s="9" t="n">
        <v>4</v>
      </c>
      <c r="M8" s="9" t="n">
        <v>4</v>
      </c>
      <c r="N8" s="9" t="n">
        <v>16</v>
      </c>
      <c r="O8" s="11" t="s">
        <v>78</v>
      </c>
      <c r="P8" s="9" t="n">
        <v>3</v>
      </c>
      <c r="Q8" s="9" t="n">
        <v>3</v>
      </c>
      <c r="R8" s="9" t="n">
        <v>9</v>
      </c>
      <c r="S8" s="12" t="s">
        <v>83</v>
      </c>
      <c r="T8" s="10" t="s">
        <v>163</v>
      </c>
      <c r="U8" s="9" t="s">
        <v>80</v>
      </c>
      <c r="V8" s="10" t="s">
        <v>164</v>
      </c>
      <c r="W8" s="10" t="s">
        <v>165</v>
      </c>
      <c r="X8" s="9" t="n">
        <v>2</v>
      </c>
      <c r="Y8" s="9" t="n">
        <v>3</v>
      </c>
      <c r="Z8" s="9" t="n">
        <v>6</v>
      </c>
      <c r="AA8" s="12" t="s">
        <v>83</v>
      </c>
      <c r="AB8" s="10" t="s">
        <v>166</v>
      </c>
      <c r="AC8" s="9" t="s">
        <v>167</v>
      </c>
      <c r="AD8" s="9" t="s">
        <v>128</v>
      </c>
      <c r="AE8" s="10" t="s">
        <v>168</v>
      </c>
      <c r="AF8" s="9" t="s">
        <v>88</v>
      </c>
      <c r="AG8" s="10" t="s">
        <v>169</v>
      </c>
      <c r="AH8" s="9" t="s">
        <v>170</v>
      </c>
      <c r="AI8" s="9" t="s">
        <v>91</v>
      </c>
      <c r="AJ8" s="10" t="s">
        <v>171</v>
      </c>
    </row>
    <row r="9" customFormat="false" ht="94.5" hidden="false" customHeight="true" outlineLevel="0" collapsed="false">
      <c r="A9" s="13" t="s">
        <v>172</v>
      </c>
      <c r="B9" s="14" t="s">
        <v>173</v>
      </c>
      <c r="C9" s="14" t="s">
        <v>69</v>
      </c>
      <c r="D9" s="14" t="s">
        <v>70</v>
      </c>
      <c r="E9" s="14" t="s">
        <v>174</v>
      </c>
      <c r="F9" s="14" t="s">
        <v>175</v>
      </c>
      <c r="G9" s="14" t="s">
        <v>176</v>
      </c>
      <c r="H9" s="14" t="s">
        <v>177</v>
      </c>
      <c r="I9" s="14" t="s">
        <v>178</v>
      </c>
      <c r="J9" s="14" t="s">
        <v>179</v>
      </c>
      <c r="K9" s="14" t="s">
        <v>180</v>
      </c>
      <c r="L9" s="13" t="n">
        <v>3</v>
      </c>
      <c r="M9" s="13" t="n">
        <v>5</v>
      </c>
      <c r="N9" s="13" t="n">
        <v>15</v>
      </c>
      <c r="O9" s="11" t="s">
        <v>78</v>
      </c>
      <c r="P9" s="13" t="n">
        <v>3</v>
      </c>
      <c r="Q9" s="13" t="n">
        <v>4</v>
      </c>
      <c r="R9" s="13" t="n">
        <v>12</v>
      </c>
      <c r="S9" s="15" t="s">
        <v>144</v>
      </c>
      <c r="T9" s="14" t="s">
        <v>163</v>
      </c>
      <c r="U9" s="13" t="s">
        <v>80</v>
      </c>
      <c r="V9" s="14" t="s">
        <v>181</v>
      </c>
      <c r="W9" s="14" t="s">
        <v>182</v>
      </c>
      <c r="X9" s="13" t="n">
        <v>2</v>
      </c>
      <c r="Y9" s="13" t="n">
        <v>4</v>
      </c>
      <c r="Z9" s="13" t="n">
        <v>8</v>
      </c>
      <c r="AA9" s="12" t="s">
        <v>83</v>
      </c>
      <c r="AB9" s="14" t="s">
        <v>183</v>
      </c>
      <c r="AC9" s="13" t="s">
        <v>184</v>
      </c>
      <c r="AD9" s="13" t="s">
        <v>108</v>
      </c>
      <c r="AE9" s="14" t="s">
        <v>185</v>
      </c>
      <c r="AF9" s="13" t="s">
        <v>88</v>
      </c>
      <c r="AG9" s="14" t="s">
        <v>186</v>
      </c>
      <c r="AH9" s="13" t="s">
        <v>187</v>
      </c>
      <c r="AI9" s="13" t="s">
        <v>91</v>
      </c>
      <c r="AJ9" s="14" t="s">
        <v>188</v>
      </c>
    </row>
    <row r="10" customFormat="false" ht="94.5" hidden="false" customHeight="true" outlineLevel="0" collapsed="false">
      <c r="A10" s="9" t="s">
        <v>189</v>
      </c>
      <c r="B10" s="10" t="s">
        <v>190</v>
      </c>
      <c r="C10" s="10" t="s">
        <v>69</v>
      </c>
      <c r="D10" s="10" t="s">
        <v>136</v>
      </c>
      <c r="E10" s="10" t="s">
        <v>191</v>
      </c>
      <c r="F10" s="10" t="s">
        <v>192</v>
      </c>
      <c r="G10" s="10" t="s">
        <v>193</v>
      </c>
      <c r="H10" s="10" t="s">
        <v>194</v>
      </c>
      <c r="I10" s="10" t="s">
        <v>195</v>
      </c>
      <c r="J10" s="10" t="s">
        <v>196</v>
      </c>
      <c r="K10" s="10" t="s">
        <v>197</v>
      </c>
      <c r="L10" s="9" t="n">
        <v>3</v>
      </c>
      <c r="M10" s="9" t="n">
        <v>4</v>
      </c>
      <c r="N10" s="9" t="n">
        <v>12</v>
      </c>
      <c r="O10" s="15" t="s">
        <v>144</v>
      </c>
      <c r="P10" s="9" t="n">
        <v>3</v>
      </c>
      <c r="Q10" s="9" t="n">
        <v>3</v>
      </c>
      <c r="R10" s="9" t="n">
        <v>9</v>
      </c>
      <c r="S10" s="12" t="s">
        <v>83</v>
      </c>
      <c r="T10" s="10" t="s">
        <v>145</v>
      </c>
      <c r="U10" s="9" t="s">
        <v>80</v>
      </c>
      <c r="V10" s="10" t="s">
        <v>198</v>
      </c>
      <c r="W10" s="10" t="s">
        <v>199</v>
      </c>
      <c r="X10" s="9" t="n">
        <v>2</v>
      </c>
      <c r="Y10" s="9" t="n">
        <v>3</v>
      </c>
      <c r="Z10" s="9" t="n">
        <v>6</v>
      </c>
      <c r="AA10" s="12" t="s">
        <v>83</v>
      </c>
      <c r="AB10" s="10" t="s">
        <v>166</v>
      </c>
      <c r="AC10" s="9" t="s">
        <v>85</v>
      </c>
      <c r="AD10" s="9" t="s">
        <v>128</v>
      </c>
      <c r="AE10" s="10" t="s">
        <v>200</v>
      </c>
      <c r="AF10" s="9" t="s">
        <v>88</v>
      </c>
      <c r="AG10" s="10" t="s">
        <v>201</v>
      </c>
      <c r="AH10" s="9" t="s">
        <v>90</v>
      </c>
      <c r="AI10" s="9" t="s">
        <v>91</v>
      </c>
      <c r="AJ10" s="10" t="s">
        <v>202</v>
      </c>
    </row>
    <row r="11" customFormat="false" ht="94.5" hidden="false" customHeight="true" outlineLevel="0" collapsed="false">
      <c r="A11" s="13" t="s">
        <v>203</v>
      </c>
      <c r="B11" s="14" t="s">
        <v>204</v>
      </c>
      <c r="C11" s="14" t="s">
        <v>69</v>
      </c>
      <c r="D11" s="14" t="s">
        <v>136</v>
      </c>
      <c r="E11" s="14" t="s">
        <v>205</v>
      </c>
      <c r="F11" s="14" t="s">
        <v>206</v>
      </c>
      <c r="G11" s="14" t="s">
        <v>207</v>
      </c>
      <c r="H11" s="14" t="s">
        <v>208</v>
      </c>
      <c r="I11" s="14" t="s">
        <v>209</v>
      </c>
      <c r="J11" s="14" t="s">
        <v>210</v>
      </c>
      <c r="K11" s="14" t="s">
        <v>211</v>
      </c>
      <c r="L11" s="13" t="n">
        <v>4</v>
      </c>
      <c r="M11" s="13" t="n">
        <v>3</v>
      </c>
      <c r="N11" s="13" t="n">
        <v>12</v>
      </c>
      <c r="O11" s="15" t="s">
        <v>144</v>
      </c>
      <c r="P11" s="13" t="n">
        <v>3</v>
      </c>
      <c r="Q11" s="13" t="n">
        <v>3</v>
      </c>
      <c r="R11" s="13" t="n">
        <v>9</v>
      </c>
      <c r="S11" s="12" t="s">
        <v>83</v>
      </c>
      <c r="T11" s="14" t="s">
        <v>212</v>
      </c>
      <c r="U11" s="13" t="s">
        <v>80</v>
      </c>
      <c r="V11" s="14" t="s">
        <v>213</v>
      </c>
      <c r="W11" s="14" t="s">
        <v>214</v>
      </c>
      <c r="X11" s="13" t="n">
        <v>2</v>
      </c>
      <c r="Y11" s="13" t="n">
        <v>3</v>
      </c>
      <c r="Z11" s="13" t="n">
        <v>6</v>
      </c>
      <c r="AA11" s="12" t="s">
        <v>83</v>
      </c>
      <c r="AB11" s="14" t="s">
        <v>215</v>
      </c>
      <c r="AC11" s="13" t="s">
        <v>149</v>
      </c>
      <c r="AD11" s="13" t="s">
        <v>216</v>
      </c>
      <c r="AE11" s="14" t="s">
        <v>217</v>
      </c>
      <c r="AF11" s="13" t="s">
        <v>88</v>
      </c>
      <c r="AG11" s="14" t="s">
        <v>218</v>
      </c>
      <c r="AH11" s="13" t="s">
        <v>187</v>
      </c>
      <c r="AI11" s="13" t="s">
        <v>91</v>
      </c>
      <c r="AJ11" s="14" t="s">
        <v>219</v>
      </c>
    </row>
    <row r="12" customFormat="false" ht="94.5" hidden="false" customHeight="true" outlineLevel="0" collapsed="false">
      <c r="A12" s="9" t="s">
        <v>220</v>
      </c>
      <c r="B12" s="10" t="s">
        <v>221</v>
      </c>
      <c r="C12" s="10" t="s">
        <v>222</v>
      </c>
      <c r="D12" s="10" t="s">
        <v>223</v>
      </c>
      <c r="E12" s="10" t="s">
        <v>224</v>
      </c>
      <c r="F12" s="10" t="s">
        <v>225</v>
      </c>
      <c r="G12" s="10" t="s">
        <v>226</v>
      </c>
      <c r="H12" s="10" t="s">
        <v>227</v>
      </c>
      <c r="I12" s="10" t="s">
        <v>228</v>
      </c>
      <c r="J12" s="10" t="s">
        <v>229</v>
      </c>
      <c r="K12" s="10" t="s">
        <v>230</v>
      </c>
      <c r="L12" s="9" t="n">
        <v>4</v>
      </c>
      <c r="M12" s="9" t="n">
        <v>5</v>
      </c>
      <c r="N12" s="9" t="n">
        <v>20</v>
      </c>
      <c r="O12" s="11" t="s">
        <v>78</v>
      </c>
      <c r="P12" s="9" t="n">
        <v>3</v>
      </c>
      <c r="Q12" s="9" t="n">
        <v>4</v>
      </c>
      <c r="R12" s="9" t="n">
        <v>12</v>
      </c>
      <c r="S12" s="15" t="s">
        <v>144</v>
      </c>
      <c r="T12" s="10" t="s">
        <v>145</v>
      </c>
      <c r="U12" s="9" t="s">
        <v>80</v>
      </c>
      <c r="V12" s="10" t="s">
        <v>231</v>
      </c>
      <c r="W12" s="10" t="s">
        <v>232</v>
      </c>
      <c r="X12" s="9" t="n">
        <v>2</v>
      </c>
      <c r="Y12" s="9" t="n">
        <v>4</v>
      </c>
      <c r="Z12" s="9" t="n">
        <v>8</v>
      </c>
      <c r="AA12" s="12" t="s">
        <v>83</v>
      </c>
      <c r="AB12" s="10" t="s">
        <v>233</v>
      </c>
      <c r="AC12" s="9" t="s">
        <v>85</v>
      </c>
      <c r="AD12" s="9" t="s">
        <v>108</v>
      </c>
      <c r="AE12" s="10" t="s">
        <v>234</v>
      </c>
      <c r="AF12" s="9" t="s">
        <v>88</v>
      </c>
      <c r="AG12" s="10" t="s">
        <v>235</v>
      </c>
      <c r="AH12" s="9" t="s">
        <v>90</v>
      </c>
      <c r="AI12" s="9" t="s">
        <v>91</v>
      </c>
      <c r="AJ12" s="10" t="s">
        <v>236</v>
      </c>
    </row>
    <row r="13" customFormat="false" ht="94.5" hidden="false" customHeight="true" outlineLevel="0" collapsed="false">
      <c r="A13" s="13" t="s">
        <v>237</v>
      </c>
      <c r="B13" s="14" t="s">
        <v>238</v>
      </c>
      <c r="C13" s="14" t="s">
        <v>222</v>
      </c>
      <c r="D13" s="14" t="s">
        <v>70</v>
      </c>
      <c r="E13" s="14" t="s">
        <v>239</v>
      </c>
      <c r="F13" s="14" t="s">
        <v>240</v>
      </c>
      <c r="G13" s="14" t="s">
        <v>241</v>
      </c>
      <c r="H13" s="14" t="s">
        <v>242</v>
      </c>
      <c r="I13" s="14" t="s">
        <v>243</v>
      </c>
      <c r="J13" s="14" t="s">
        <v>244</v>
      </c>
      <c r="K13" s="14" t="s">
        <v>245</v>
      </c>
      <c r="L13" s="13" t="n">
        <v>3</v>
      </c>
      <c r="M13" s="13" t="n">
        <v>5</v>
      </c>
      <c r="N13" s="13" t="n">
        <v>15</v>
      </c>
      <c r="O13" s="11" t="s">
        <v>78</v>
      </c>
      <c r="P13" s="13" t="n">
        <v>2</v>
      </c>
      <c r="Q13" s="13" t="n">
        <v>4</v>
      </c>
      <c r="R13" s="13" t="n">
        <v>8</v>
      </c>
      <c r="S13" s="12" t="s">
        <v>83</v>
      </c>
      <c r="T13" s="14" t="s">
        <v>79</v>
      </c>
      <c r="U13" s="13" t="s">
        <v>80</v>
      </c>
      <c r="V13" s="14" t="s">
        <v>246</v>
      </c>
      <c r="W13" s="14" t="s">
        <v>247</v>
      </c>
      <c r="X13" s="13" t="n">
        <v>2</v>
      </c>
      <c r="Y13" s="13" t="n">
        <v>3</v>
      </c>
      <c r="Z13" s="13" t="n">
        <v>6</v>
      </c>
      <c r="AA13" s="12" t="s">
        <v>83</v>
      </c>
      <c r="AB13" s="14" t="s">
        <v>248</v>
      </c>
      <c r="AC13" s="13" t="s">
        <v>107</v>
      </c>
      <c r="AD13" s="13" t="s">
        <v>108</v>
      </c>
      <c r="AE13" s="14" t="s">
        <v>249</v>
      </c>
      <c r="AF13" s="13" t="s">
        <v>88</v>
      </c>
      <c r="AG13" s="14" t="s">
        <v>250</v>
      </c>
      <c r="AH13" s="13" t="s">
        <v>111</v>
      </c>
      <c r="AI13" s="13" t="s">
        <v>91</v>
      </c>
      <c r="AJ13" s="14" t="s">
        <v>251</v>
      </c>
    </row>
    <row r="14" customFormat="false" ht="94.5" hidden="false" customHeight="true" outlineLevel="0" collapsed="false">
      <c r="A14" s="9" t="s">
        <v>252</v>
      </c>
      <c r="B14" s="10" t="s">
        <v>253</v>
      </c>
      <c r="C14" s="10" t="s">
        <v>222</v>
      </c>
      <c r="D14" s="10" t="s">
        <v>223</v>
      </c>
      <c r="E14" s="10" t="s">
        <v>254</v>
      </c>
      <c r="F14" s="10" t="s">
        <v>225</v>
      </c>
      <c r="G14" s="10" t="s">
        <v>255</v>
      </c>
      <c r="H14" s="10" t="s">
        <v>256</v>
      </c>
      <c r="I14" s="10" t="s">
        <v>257</v>
      </c>
      <c r="J14" s="10" t="s">
        <v>258</v>
      </c>
      <c r="K14" s="10" t="s">
        <v>259</v>
      </c>
      <c r="L14" s="9" t="n">
        <v>4</v>
      </c>
      <c r="M14" s="9" t="n">
        <v>4</v>
      </c>
      <c r="N14" s="9" t="n">
        <v>16</v>
      </c>
      <c r="O14" s="11" t="s">
        <v>78</v>
      </c>
      <c r="P14" s="9" t="n">
        <v>3</v>
      </c>
      <c r="Q14" s="9" t="n">
        <v>3</v>
      </c>
      <c r="R14" s="9" t="n">
        <v>9</v>
      </c>
      <c r="S14" s="12" t="s">
        <v>83</v>
      </c>
      <c r="T14" s="10" t="s">
        <v>260</v>
      </c>
      <c r="U14" s="9" t="s">
        <v>80</v>
      </c>
      <c r="V14" s="10" t="s">
        <v>261</v>
      </c>
      <c r="W14" s="10" t="s">
        <v>262</v>
      </c>
      <c r="X14" s="9" t="n">
        <v>2</v>
      </c>
      <c r="Y14" s="9" t="n">
        <v>3</v>
      </c>
      <c r="Z14" s="9" t="n">
        <v>6</v>
      </c>
      <c r="AA14" s="12" t="s">
        <v>83</v>
      </c>
      <c r="AB14" s="10" t="s">
        <v>263</v>
      </c>
      <c r="AC14" s="9" t="s">
        <v>127</v>
      </c>
      <c r="AD14" s="9" t="s">
        <v>128</v>
      </c>
      <c r="AE14" s="10" t="s">
        <v>264</v>
      </c>
      <c r="AF14" s="9" t="s">
        <v>88</v>
      </c>
      <c r="AG14" s="10" t="s">
        <v>265</v>
      </c>
      <c r="AH14" s="9" t="s">
        <v>170</v>
      </c>
      <c r="AI14" s="9" t="s">
        <v>91</v>
      </c>
      <c r="AJ14" s="10" t="s">
        <v>266</v>
      </c>
    </row>
    <row r="15" customFormat="false" ht="94.5" hidden="false" customHeight="true" outlineLevel="0" collapsed="false">
      <c r="A15" s="13" t="s">
        <v>267</v>
      </c>
      <c r="B15" s="14" t="s">
        <v>268</v>
      </c>
      <c r="C15" s="14" t="s">
        <v>222</v>
      </c>
      <c r="D15" s="14" t="s">
        <v>223</v>
      </c>
      <c r="E15" s="14" t="s">
        <v>269</v>
      </c>
      <c r="F15" s="14" t="s">
        <v>225</v>
      </c>
      <c r="G15" s="14" t="s">
        <v>270</v>
      </c>
      <c r="H15" s="14" t="s">
        <v>271</v>
      </c>
      <c r="I15" s="14" t="s">
        <v>272</v>
      </c>
      <c r="J15" s="14" t="s">
        <v>273</v>
      </c>
      <c r="K15" s="14" t="s">
        <v>274</v>
      </c>
      <c r="L15" s="13" t="n">
        <v>3</v>
      </c>
      <c r="M15" s="13" t="n">
        <v>3</v>
      </c>
      <c r="N15" s="13" t="n">
        <v>9</v>
      </c>
      <c r="O15" s="12" t="s">
        <v>83</v>
      </c>
      <c r="P15" s="13" t="n">
        <v>2</v>
      </c>
      <c r="Q15" s="13" t="n">
        <v>3</v>
      </c>
      <c r="R15" s="13" t="n">
        <v>6</v>
      </c>
      <c r="S15" s="12" t="s">
        <v>83</v>
      </c>
      <c r="T15" s="14" t="s">
        <v>275</v>
      </c>
      <c r="U15" s="13" t="s">
        <v>80</v>
      </c>
      <c r="V15" s="14" t="s">
        <v>276</v>
      </c>
      <c r="W15" s="14" t="s">
        <v>277</v>
      </c>
      <c r="X15" s="13" t="n">
        <v>2</v>
      </c>
      <c r="Y15" s="13" t="n">
        <v>2</v>
      </c>
      <c r="Z15" s="13" t="n">
        <v>4</v>
      </c>
      <c r="AA15" s="16" t="s">
        <v>278</v>
      </c>
      <c r="AB15" s="14" t="s">
        <v>279</v>
      </c>
      <c r="AC15" s="13" t="s">
        <v>280</v>
      </c>
      <c r="AD15" s="13" t="s">
        <v>216</v>
      </c>
      <c r="AE15" s="14" t="s">
        <v>281</v>
      </c>
      <c r="AF15" s="13" t="s">
        <v>130</v>
      </c>
      <c r="AG15" s="14" t="s">
        <v>282</v>
      </c>
      <c r="AH15" s="13" t="s">
        <v>283</v>
      </c>
      <c r="AI15" s="13" t="s">
        <v>91</v>
      </c>
      <c r="AJ15" s="14" t="s">
        <v>284</v>
      </c>
    </row>
    <row r="16" customFormat="false" ht="94.5" hidden="false" customHeight="true" outlineLevel="0" collapsed="false">
      <c r="A16" s="9" t="s">
        <v>285</v>
      </c>
      <c r="B16" s="10" t="s">
        <v>286</v>
      </c>
      <c r="C16" s="10" t="s">
        <v>222</v>
      </c>
      <c r="D16" s="10" t="s">
        <v>287</v>
      </c>
      <c r="E16" s="10" t="s">
        <v>288</v>
      </c>
      <c r="F16" s="10" t="s">
        <v>289</v>
      </c>
      <c r="G16" s="10" t="s">
        <v>290</v>
      </c>
      <c r="H16" s="10" t="s">
        <v>291</v>
      </c>
      <c r="I16" s="10" t="s">
        <v>292</v>
      </c>
      <c r="J16" s="10" t="s">
        <v>293</v>
      </c>
      <c r="K16" s="10" t="s">
        <v>294</v>
      </c>
      <c r="L16" s="9" t="n">
        <v>2</v>
      </c>
      <c r="M16" s="9" t="n">
        <v>5</v>
      </c>
      <c r="N16" s="9" t="n">
        <v>10</v>
      </c>
      <c r="O16" s="15" t="s">
        <v>144</v>
      </c>
      <c r="P16" s="9" t="n">
        <v>2</v>
      </c>
      <c r="Q16" s="9" t="n">
        <v>3</v>
      </c>
      <c r="R16" s="9" t="n">
        <v>6</v>
      </c>
      <c r="S16" s="12" t="s">
        <v>83</v>
      </c>
      <c r="T16" s="10" t="s">
        <v>295</v>
      </c>
      <c r="U16" s="9" t="s">
        <v>80</v>
      </c>
      <c r="V16" s="10" t="s">
        <v>296</v>
      </c>
      <c r="W16" s="10" t="s">
        <v>297</v>
      </c>
      <c r="X16" s="9" t="n">
        <v>1</v>
      </c>
      <c r="Y16" s="9" t="n">
        <v>4</v>
      </c>
      <c r="Z16" s="9" t="n">
        <v>4</v>
      </c>
      <c r="AA16" s="16" t="s">
        <v>278</v>
      </c>
      <c r="AB16" s="10" t="s">
        <v>298</v>
      </c>
      <c r="AC16" s="9" t="s">
        <v>85</v>
      </c>
      <c r="AD16" s="9" t="s">
        <v>128</v>
      </c>
      <c r="AE16" s="10" t="s">
        <v>299</v>
      </c>
      <c r="AF16" s="9" t="s">
        <v>300</v>
      </c>
      <c r="AG16" s="10" t="s">
        <v>301</v>
      </c>
      <c r="AH16" s="9" t="s">
        <v>90</v>
      </c>
      <c r="AI16" s="9" t="s">
        <v>91</v>
      </c>
      <c r="AJ16" s="10" t="s">
        <v>302</v>
      </c>
    </row>
    <row r="17" customFormat="false" ht="94.5" hidden="false" customHeight="true" outlineLevel="0" collapsed="false">
      <c r="A17" s="13" t="s">
        <v>303</v>
      </c>
      <c r="B17" s="14" t="s">
        <v>304</v>
      </c>
      <c r="C17" s="14" t="s">
        <v>305</v>
      </c>
      <c r="D17" s="14" t="s">
        <v>306</v>
      </c>
      <c r="E17" s="14" t="s">
        <v>307</v>
      </c>
      <c r="F17" s="14" t="s">
        <v>308</v>
      </c>
      <c r="G17" s="14" t="s">
        <v>309</v>
      </c>
      <c r="H17" s="14" t="s">
        <v>310</v>
      </c>
      <c r="I17" s="14" t="s">
        <v>311</v>
      </c>
      <c r="J17" s="14" t="s">
        <v>312</v>
      </c>
      <c r="K17" s="14" t="s">
        <v>313</v>
      </c>
      <c r="L17" s="13" t="n">
        <v>3</v>
      </c>
      <c r="M17" s="13" t="n">
        <v>4</v>
      </c>
      <c r="N17" s="13" t="n">
        <v>12</v>
      </c>
      <c r="O17" s="15" t="s">
        <v>144</v>
      </c>
      <c r="P17" s="13" t="n">
        <v>3</v>
      </c>
      <c r="Q17" s="13" t="n">
        <v>3</v>
      </c>
      <c r="R17" s="13" t="n">
        <v>9</v>
      </c>
      <c r="S17" s="12" t="s">
        <v>83</v>
      </c>
      <c r="T17" s="14" t="s">
        <v>79</v>
      </c>
      <c r="U17" s="13" t="s">
        <v>314</v>
      </c>
      <c r="V17" s="14" t="s">
        <v>315</v>
      </c>
      <c r="W17" s="14" t="s">
        <v>316</v>
      </c>
      <c r="X17" s="13" t="n">
        <v>2</v>
      </c>
      <c r="Y17" s="13" t="n">
        <v>3</v>
      </c>
      <c r="Z17" s="13" t="n">
        <v>6</v>
      </c>
      <c r="AA17" s="12" t="s">
        <v>83</v>
      </c>
      <c r="AB17" s="14" t="s">
        <v>317</v>
      </c>
      <c r="AC17" s="13" t="s">
        <v>85</v>
      </c>
      <c r="AD17" s="13" t="s">
        <v>128</v>
      </c>
      <c r="AE17" s="14" t="s">
        <v>318</v>
      </c>
      <c r="AF17" s="13" t="s">
        <v>88</v>
      </c>
      <c r="AG17" s="14" t="s">
        <v>319</v>
      </c>
      <c r="AH17" s="13" t="s">
        <v>111</v>
      </c>
      <c r="AI17" s="13" t="s">
        <v>91</v>
      </c>
      <c r="AJ17" s="14" t="s">
        <v>320</v>
      </c>
    </row>
    <row r="18" customFormat="false" ht="94.5" hidden="false" customHeight="true" outlineLevel="0" collapsed="false">
      <c r="A18" s="9" t="s">
        <v>321</v>
      </c>
      <c r="B18" s="10" t="s">
        <v>322</v>
      </c>
      <c r="C18" s="10" t="s">
        <v>305</v>
      </c>
      <c r="D18" s="10" t="s">
        <v>136</v>
      </c>
      <c r="E18" s="10" t="s">
        <v>323</v>
      </c>
      <c r="F18" s="10" t="s">
        <v>324</v>
      </c>
      <c r="G18" s="10" t="s">
        <v>325</v>
      </c>
      <c r="H18" s="10" t="s">
        <v>326</v>
      </c>
      <c r="I18" s="10" t="s">
        <v>327</v>
      </c>
      <c r="J18" s="10" t="s">
        <v>328</v>
      </c>
      <c r="K18" s="10" t="s">
        <v>329</v>
      </c>
      <c r="L18" s="9" t="n">
        <v>3</v>
      </c>
      <c r="M18" s="9" t="n">
        <v>4</v>
      </c>
      <c r="N18" s="9" t="n">
        <v>12</v>
      </c>
      <c r="O18" s="15" t="s">
        <v>144</v>
      </c>
      <c r="P18" s="9" t="n">
        <v>3</v>
      </c>
      <c r="Q18" s="9" t="n">
        <v>3</v>
      </c>
      <c r="R18" s="9" t="n">
        <v>9</v>
      </c>
      <c r="S18" s="12" t="s">
        <v>83</v>
      </c>
      <c r="T18" s="10" t="s">
        <v>260</v>
      </c>
      <c r="U18" s="9" t="s">
        <v>80</v>
      </c>
      <c r="V18" s="10" t="s">
        <v>330</v>
      </c>
      <c r="W18" s="10" t="s">
        <v>331</v>
      </c>
      <c r="X18" s="9" t="n">
        <v>2</v>
      </c>
      <c r="Y18" s="9" t="n">
        <v>3</v>
      </c>
      <c r="Z18" s="9" t="n">
        <v>6</v>
      </c>
      <c r="AA18" s="12" t="s">
        <v>83</v>
      </c>
      <c r="AB18" s="10" t="s">
        <v>332</v>
      </c>
      <c r="AC18" s="9" t="s">
        <v>167</v>
      </c>
      <c r="AD18" s="9" t="s">
        <v>128</v>
      </c>
      <c r="AE18" s="10" t="s">
        <v>333</v>
      </c>
      <c r="AF18" s="9" t="s">
        <v>88</v>
      </c>
      <c r="AG18" s="10" t="s">
        <v>334</v>
      </c>
      <c r="AH18" s="9" t="s">
        <v>90</v>
      </c>
      <c r="AI18" s="9" t="s">
        <v>91</v>
      </c>
      <c r="AJ18" s="10" t="s">
        <v>335</v>
      </c>
    </row>
    <row r="19" customFormat="false" ht="94.5" hidden="false" customHeight="true" outlineLevel="0" collapsed="false">
      <c r="A19" s="13" t="s">
        <v>336</v>
      </c>
      <c r="B19" s="14" t="s">
        <v>337</v>
      </c>
      <c r="C19" s="14" t="s">
        <v>305</v>
      </c>
      <c r="D19" s="14" t="s">
        <v>115</v>
      </c>
      <c r="E19" s="14" t="s">
        <v>338</v>
      </c>
      <c r="F19" s="14" t="s">
        <v>339</v>
      </c>
      <c r="G19" s="14" t="s">
        <v>340</v>
      </c>
      <c r="H19" s="14" t="s">
        <v>341</v>
      </c>
      <c r="I19" s="14" t="s">
        <v>342</v>
      </c>
      <c r="J19" s="14" t="s">
        <v>343</v>
      </c>
      <c r="K19" s="14" t="s">
        <v>344</v>
      </c>
      <c r="L19" s="13" t="n">
        <v>3</v>
      </c>
      <c r="M19" s="13" t="n">
        <v>4</v>
      </c>
      <c r="N19" s="13" t="n">
        <v>12</v>
      </c>
      <c r="O19" s="15" t="s">
        <v>144</v>
      </c>
      <c r="P19" s="13" t="n">
        <v>3</v>
      </c>
      <c r="Q19" s="13" t="n">
        <v>3</v>
      </c>
      <c r="R19" s="13" t="n">
        <v>9</v>
      </c>
      <c r="S19" s="12" t="s">
        <v>83</v>
      </c>
      <c r="T19" s="14" t="s">
        <v>345</v>
      </c>
      <c r="U19" s="13" t="s">
        <v>80</v>
      </c>
      <c r="V19" s="14" t="s">
        <v>346</v>
      </c>
      <c r="W19" s="14" t="s">
        <v>347</v>
      </c>
      <c r="X19" s="13" t="n">
        <v>2</v>
      </c>
      <c r="Y19" s="13" t="n">
        <v>3</v>
      </c>
      <c r="Z19" s="13" t="n">
        <v>6</v>
      </c>
      <c r="AA19" s="12" t="s">
        <v>83</v>
      </c>
      <c r="AB19" s="14" t="s">
        <v>348</v>
      </c>
      <c r="AC19" s="13" t="s">
        <v>349</v>
      </c>
      <c r="AD19" s="13" t="s">
        <v>128</v>
      </c>
      <c r="AE19" s="14" t="s">
        <v>350</v>
      </c>
      <c r="AF19" s="13" t="s">
        <v>88</v>
      </c>
      <c r="AG19" s="14" t="s">
        <v>351</v>
      </c>
      <c r="AH19" s="13" t="s">
        <v>187</v>
      </c>
      <c r="AI19" s="13" t="s">
        <v>91</v>
      </c>
      <c r="AJ19" s="14" t="s">
        <v>352</v>
      </c>
    </row>
    <row r="20" customFormat="false" ht="94.5" hidden="false" customHeight="true" outlineLevel="0" collapsed="false">
      <c r="A20" s="9" t="s">
        <v>353</v>
      </c>
      <c r="B20" s="10" t="s">
        <v>354</v>
      </c>
      <c r="C20" s="10" t="s">
        <v>305</v>
      </c>
      <c r="D20" s="10" t="s">
        <v>115</v>
      </c>
      <c r="E20" s="10" t="s">
        <v>355</v>
      </c>
      <c r="F20" s="10" t="s">
        <v>356</v>
      </c>
      <c r="G20" s="10" t="s">
        <v>357</v>
      </c>
      <c r="H20" s="10" t="s">
        <v>358</v>
      </c>
      <c r="I20" s="10" t="s">
        <v>359</v>
      </c>
      <c r="J20" s="10" t="s">
        <v>360</v>
      </c>
      <c r="K20" s="10" t="s">
        <v>361</v>
      </c>
      <c r="L20" s="9" t="n">
        <v>2</v>
      </c>
      <c r="M20" s="9" t="n">
        <v>4</v>
      </c>
      <c r="N20" s="9" t="n">
        <v>8</v>
      </c>
      <c r="O20" s="12" t="s">
        <v>83</v>
      </c>
      <c r="P20" s="9" t="n">
        <v>2</v>
      </c>
      <c r="Q20" s="9" t="n">
        <v>3</v>
      </c>
      <c r="R20" s="9" t="n">
        <v>6</v>
      </c>
      <c r="S20" s="12" t="s">
        <v>83</v>
      </c>
      <c r="T20" s="10" t="s">
        <v>362</v>
      </c>
      <c r="U20" s="9" t="s">
        <v>80</v>
      </c>
      <c r="V20" s="10" t="s">
        <v>363</v>
      </c>
      <c r="W20" s="10" t="s">
        <v>364</v>
      </c>
      <c r="X20" s="9" t="n">
        <v>1</v>
      </c>
      <c r="Y20" s="9" t="n">
        <v>3</v>
      </c>
      <c r="Z20" s="9" t="n">
        <v>3</v>
      </c>
      <c r="AA20" s="16" t="s">
        <v>278</v>
      </c>
      <c r="AB20" s="10" t="s">
        <v>365</v>
      </c>
      <c r="AC20" s="9" t="s">
        <v>85</v>
      </c>
      <c r="AD20" s="9" t="s">
        <v>216</v>
      </c>
      <c r="AE20" s="10" t="s">
        <v>366</v>
      </c>
      <c r="AF20" s="9" t="s">
        <v>300</v>
      </c>
      <c r="AG20" s="10" t="s">
        <v>367</v>
      </c>
      <c r="AH20" s="9" t="s">
        <v>90</v>
      </c>
      <c r="AI20" s="9" t="s">
        <v>91</v>
      </c>
      <c r="AJ20" s="10" t="s">
        <v>368</v>
      </c>
    </row>
    <row r="21" customFormat="false" ht="94.5" hidden="false" customHeight="true" outlineLevel="0" collapsed="false">
      <c r="A21" s="13" t="s">
        <v>369</v>
      </c>
      <c r="B21" s="14" t="s">
        <v>370</v>
      </c>
      <c r="C21" s="14" t="s">
        <v>305</v>
      </c>
      <c r="D21" s="14" t="s">
        <v>306</v>
      </c>
      <c r="E21" s="14" t="s">
        <v>371</v>
      </c>
      <c r="F21" s="14" t="s">
        <v>372</v>
      </c>
      <c r="G21" s="14" t="s">
        <v>373</v>
      </c>
      <c r="H21" s="14" t="s">
        <v>374</v>
      </c>
      <c r="I21" s="14" t="s">
        <v>375</v>
      </c>
      <c r="J21" s="14" t="s">
        <v>376</v>
      </c>
      <c r="K21" s="14" t="s">
        <v>377</v>
      </c>
      <c r="L21" s="13" t="n">
        <v>3</v>
      </c>
      <c r="M21" s="13" t="n">
        <v>3</v>
      </c>
      <c r="N21" s="13" t="n">
        <v>9</v>
      </c>
      <c r="O21" s="12" t="s">
        <v>83</v>
      </c>
      <c r="P21" s="13" t="n">
        <v>2</v>
      </c>
      <c r="Q21" s="13" t="n">
        <v>3</v>
      </c>
      <c r="R21" s="13" t="n">
        <v>6</v>
      </c>
      <c r="S21" s="12" t="s">
        <v>83</v>
      </c>
      <c r="T21" s="14" t="s">
        <v>378</v>
      </c>
      <c r="U21" s="13" t="s">
        <v>80</v>
      </c>
      <c r="V21" s="14" t="s">
        <v>379</v>
      </c>
      <c r="W21" s="14" t="s">
        <v>380</v>
      </c>
      <c r="X21" s="13" t="n">
        <v>2</v>
      </c>
      <c r="Y21" s="13" t="n">
        <v>2</v>
      </c>
      <c r="Z21" s="13" t="n">
        <v>4</v>
      </c>
      <c r="AA21" s="16" t="s">
        <v>278</v>
      </c>
      <c r="AB21" s="14" t="s">
        <v>381</v>
      </c>
      <c r="AC21" s="13" t="s">
        <v>107</v>
      </c>
      <c r="AD21" s="13" t="s">
        <v>128</v>
      </c>
      <c r="AE21" s="14" t="s">
        <v>382</v>
      </c>
      <c r="AF21" s="13" t="s">
        <v>88</v>
      </c>
      <c r="AG21" s="14" t="s">
        <v>383</v>
      </c>
      <c r="AH21" s="13" t="s">
        <v>111</v>
      </c>
      <c r="AI21" s="13" t="s">
        <v>91</v>
      </c>
      <c r="AJ21" s="14" t="s">
        <v>384</v>
      </c>
    </row>
    <row r="22" customFormat="false" ht="94.5" hidden="false" customHeight="true" outlineLevel="0" collapsed="false">
      <c r="A22" s="9" t="s">
        <v>385</v>
      </c>
      <c r="B22" s="10" t="s">
        <v>386</v>
      </c>
      <c r="C22" s="10" t="s">
        <v>387</v>
      </c>
      <c r="D22" s="10" t="s">
        <v>70</v>
      </c>
      <c r="E22" s="10" t="s">
        <v>388</v>
      </c>
      <c r="F22" s="10" t="s">
        <v>389</v>
      </c>
      <c r="G22" s="10" t="s">
        <v>390</v>
      </c>
      <c r="H22" s="10" t="s">
        <v>391</v>
      </c>
      <c r="I22" s="10" t="s">
        <v>392</v>
      </c>
      <c r="J22" s="10" t="s">
        <v>393</v>
      </c>
      <c r="K22" s="10" t="s">
        <v>394</v>
      </c>
      <c r="L22" s="9" t="n">
        <v>3</v>
      </c>
      <c r="M22" s="9" t="n">
        <v>4</v>
      </c>
      <c r="N22" s="9" t="n">
        <v>12</v>
      </c>
      <c r="O22" s="15" t="s">
        <v>144</v>
      </c>
      <c r="P22" s="9" t="n">
        <v>2</v>
      </c>
      <c r="Q22" s="9" t="n">
        <v>4</v>
      </c>
      <c r="R22" s="9" t="n">
        <v>8</v>
      </c>
      <c r="S22" s="12" t="s">
        <v>83</v>
      </c>
      <c r="T22" s="10" t="s">
        <v>395</v>
      </c>
      <c r="U22" s="9" t="s">
        <v>80</v>
      </c>
      <c r="V22" s="10" t="s">
        <v>396</v>
      </c>
      <c r="W22" s="10" t="s">
        <v>397</v>
      </c>
      <c r="X22" s="9" t="n">
        <v>1</v>
      </c>
      <c r="Y22" s="9" t="n">
        <v>3</v>
      </c>
      <c r="Z22" s="9" t="n">
        <v>3</v>
      </c>
      <c r="AA22" s="16" t="s">
        <v>278</v>
      </c>
      <c r="AB22" s="10" t="s">
        <v>398</v>
      </c>
      <c r="AC22" s="9" t="s">
        <v>399</v>
      </c>
      <c r="AD22" s="9" t="s">
        <v>108</v>
      </c>
      <c r="AE22" s="10" t="s">
        <v>400</v>
      </c>
      <c r="AF22" s="9" t="s">
        <v>130</v>
      </c>
      <c r="AG22" s="10" t="s">
        <v>401</v>
      </c>
      <c r="AH22" s="9" t="s">
        <v>132</v>
      </c>
      <c r="AI22" s="9" t="s">
        <v>91</v>
      </c>
      <c r="AJ22" s="10" t="s">
        <v>402</v>
      </c>
    </row>
    <row r="23" customFormat="false" ht="94.5" hidden="false" customHeight="true" outlineLevel="0" collapsed="false">
      <c r="A23" s="13" t="s">
        <v>403</v>
      </c>
      <c r="B23" s="14" t="s">
        <v>404</v>
      </c>
      <c r="C23" s="14" t="s">
        <v>387</v>
      </c>
      <c r="D23" s="14" t="s">
        <v>136</v>
      </c>
      <c r="E23" s="14" t="s">
        <v>405</v>
      </c>
      <c r="F23" s="14" t="s">
        <v>406</v>
      </c>
      <c r="G23" s="14" t="s">
        <v>407</v>
      </c>
      <c r="H23" s="14" t="s">
        <v>408</v>
      </c>
      <c r="I23" s="14" t="s">
        <v>409</v>
      </c>
      <c r="J23" s="14" t="s">
        <v>410</v>
      </c>
      <c r="K23" s="14" t="s">
        <v>411</v>
      </c>
      <c r="L23" s="13" t="n">
        <v>3</v>
      </c>
      <c r="M23" s="13" t="n">
        <v>4</v>
      </c>
      <c r="N23" s="13" t="n">
        <v>12</v>
      </c>
      <c r="O23" s="15" t="s">
        <v>144</v>
      </c>
      <c r="P23" s="13" t="n">
        <v>2</v>
      </c>
      <c r="Q23" s="13" t="n">
        <v>4</v>
      </c>
      <c r="R23" s="13" t="n">
        <v>8</v>
      </c>
      <c r="S23" s="12" t="s">
        <v>83</v>
      </c>
      <c r="T23" s="14" t="s">
        <v>260</v>
      </c>
      <c r="U23" s="13" t="s">
        <v>80</v>
      </c>
      <c r="V23" s="14" t="s">
        <v>412</v>
      </c>
      <c r="W23" s="14" t="s">
        <v>413</v>
      </c>
      <c r="X23" s="13" t="n">
        <v>1</v>
      </c>
      <c r="Y23" s="13" t="n">
        <v>3</v>
      </c>
      <c r="Z23" s="13" t="n">
        <v>3</v>
      </c>
      <c r="AA23" s="16" t="s">
        <v>278</v>
      </c>
      <c r="AB23" s="14" t="s">
        <v>414</v>
      </c>
      <c r="AC23" s="13" t="s">
        <v>399</v>
      </c>
      <c r="AD23" s="13" t="s">
        <v>108</v>
      </c>
      <c r="AE23" s="14" t="s">
        <v>415</v>
      </c>
      <c r="AF23" s="13" t="s">
        <v>130</v>
      </c>
      <c r="AG23" s="14" t="s">
        <v>416</v>
      </c>
      <c r="AH23" s="13" t="s">
        <v>152</v>
      </c>
      <c r="AI23" s="13" t="s">
        <v>91</v>
      </c>
      <c r="AJ23" s="14" t="s">
        <v>417</v>
      </c>
    </row>
    <row r="24" customFormat="false" ht="94.5" hidden="false" customHeight="true" outlineLevel="0" collapsed="false">
      <c r="A24" s="9" t="s">
        <v>418</v>
      </c>
      <c r="B24" s="10" t="s">
        <v>419</v>
      </c>
      <c r="C24" s="10" t="s">
        <v>387</v>
      </c>
      <c r="D24" s="10" t="s">
        <v>136</v>
      </c>
      <c r="E24" s="10" t="s">
        <v>420</v>
      </c>
      <c r="F24" s="10" t="s">
        <v>421</v>
      </c>
      <c r="G24" s="10" t="s">
        <v>422</v>
      </c>
      <c r="H24" s="10" t="s">
        <v>423</v>
      </c>
      <c r="I24" s="10" t="s">
        <v>424</v>
      </c>
      <c r="J24" s="10" t="s">
        <v>425</v>
      </c>
      <c r="K24" s="10" t="s">
        <v>426</v>
      </c>
      <c r="L24" s="9" t="n">
        <v>3</v>
      </c>
      <c r="M24" s="9" t="n">
        <v>4</v>
      </c>
      <c r="N24" s="9" t="n">
        <v>12</v>
      </c>
      <c r="O24" s="15" t="s">
        <v>144</v>
      </c>
      <c r="P24" s="9" t="n">
        <v>2</v>
      </c>
      <c r="Q24" s="9" t="n">
        <v>3</v>
      </c>
      <c r="R24" s="9" t="n">
        <v>6</v>
      </c>
      <c r="S24" s="12" t="s">
        <v>83</v>
      </c>
      <c r="T24" s="10" t="s">
        <v>145</v>
      </c>
      <c r="U24" s="9" t="s">
        <v>80</v>
      </c>
      <c r="V24" s="10" t="s">
        <v>427</v>
      </c>
      <c r="W24" s="10" t="s">
        <v>428</v>
      </c>
      <c r="X24" s="9" t="n">
        <v>1</v>
      </c>
      <c r="Y24" s="9" t="n">
        <v>3</v>
      </c>
      <c r="Z24" s="9" t="n">
        <v>3</v>
      </c>
      <c r="AA24" s="16" t="s">
        <v>278</v>
      </c>
      <c r="AB24" s="10" t="s">
        <v>429</v>
      </c>
      <c r="AC24" s="9" t="s">
        <v>430</v>
      </c>
      <c r="AD24" s="9" t="s">
        <v>108</v>
      </c>
      <c r="AE24" s="10" t="s">
        <v>431</v>
      </c>
      <c r="AF24" s="9" t="s">
        <v>88</v>
      </c>
      <c r="AG24" s="10" t="s">
        <v>131</v>
      </c>
      <c r="AH24" s="9" t="s">
        <v>132</v>
      </c>
      <c r="AI24" s="9" t="s">
        <v>91</v>
      </c>
      <c r="AJ24" s="10" t="s">
        <v>432</v>
      </c>
    </row>
    <row r="25" customFormat="false" ht="94.5" hidden="false" customHeight="true" outlineLevel="0" collapsed="false">
      <c r="A25" s="13" t="s">
        <v>433</v>
      </c>
      <c r="B25" s="14" t="s">
        <v>434</v>
      </c>
      <c r="C25" s="14" t="s">
        <v>387</v>
      </c>
      <c r="D25" s="14" t="s">
        <v>70</v>
      </c>
      <c r="E25" s="14" t="s">
        <v>435</v>
      </c>
      <c r="F25" s="14" t="s">
        <v>436</v>
      </c>
      <c r="G25" s="14" t="s">
        <v>437</v>
      </c>
      <c r="H25" s="14" t="s">
        <v>438</v>
      </c>
      <c r="I25" s="14" t="s">
        <v>439</v>
      </c>
      <c r="J25" s="14" t="s">
        <v>440</v>
      </c>
      <c r="K25" s="14" t="s">
        <v>441</v>
      </c>
      <c r="L25" s="13" t="n">
        <v>2</v>
      </c>
      <c r="M25" s="13" t="n">
        <v>3</v>
      </c>
      <c r="N25" s="13" t="n">
        <v>6</v>
      </c>
      <c r="O25" s="12" t="s">
        <v>83</v>
      </c>
      <c r="P25" s="13" t="n">
        <v>2</v>
      </c>
      <c r="Q25" s="13" t="n">
        <v>2</v>
      </c>
      <c r="R25" s="13" t="n">
        <v>4</v>
      </c>
      <c r="S25" s="16" t="s">
        <v>278</v>
      </c>
      <c r="T25" s="14" t="s">
        <v>145</v>
      </c>
      <c r="U25" s="13" t="s">
        <v>80</v>
      </c>
      <c r="V25" s="14" t="s">
        <v>442</v>
      </c>
      <c r="W25" s="14" t="s">
        <v>443</v>
      </c>
      <c r="X25" s="13" t="n">
        <v>1</v>
      </c>
      <c r="Y25" s="13" t="n">
        <v>2</v>
      </c>
      <c r="Z25" s="13" t="n">
        <v>2</v>
      </c>
      <c r="AA25" s="16" t="s">
        <v>278</v>
      </c>
      <c r="AB25" s="14" t="s">
        <v>444</v>
      </c>
      <c r="AC25" s="13" t="s">
        <v>399</v>
      </c>
      <c r="AD25" s="13" t="s">
        <v>445</v>
      </c>
      <c r="AE25" s="14" t="s">
        <v>446</v>
      </c>
      <c r="AF25" s="13" t="s">
        <v>130</v>
      </c>
      <c r="AG25" s="14" t="s">
        <v>447</v>
      </c>
      <c r="AH25" s="13" t="s">
        <v>132</v>
      </c>
      <c r="AI25" s="13" t="s">
        <v>91</v>
      </c>
      <c r="AJ25" s="14" t="s">
        <v>448</v>
      </c>
    </row>
    <row r="26" customFormat="false" ht="94.5" hidden="false" customHeight="true" outlineLevel="0" collapsed="false">
      <c r="A26" s="9" t="s">
        <v>449</v>
      </c>
      <c r="B26" s="10" t="s">
        <v>450</v>
      </c>
      <c r="C26" s="10" t="s">
        <v>387</v>
      </c>
      <c r="D26" s="10" t="s">
        <v>306</v>
      </c>
      <c r="E26" s="10" t="s">
        <v>451</v>
      </c>
      <c r="F26" s="10" t="s">
        <v>452</v>
      </c>
      <c r="G26" s="10" t="s">
        <v>453</v>
      </c>
      <c r="H26" s="10" t="s">
        <v>454</v>
      </c>
      <c r="I26" s="10" t="s">
        <v>455</v>
      </c>
      <c r="J26" s="10" t="s">
        <v>456</v>
      </c>
      <c r="K26" s="10" t="s">
        <v>457</v>
      </c>
      <c r="L26" s="9" t="n">
        <v>3</v>
      </c>
      <c r="M26" s="9" t="n">
        <v>3</v>
      </c>
      <c r="N26" s="9" t="n">
        <v>9</v>
      </c>
      <c r="O26" s="12" t="s">
        <v>83</v>
      </c>
      <c r="P26" s="9" t="n">
        <v>2</v>
      </c>
      <c r="Q26" s="9" t="n">
        <v>3</v>
      </c>
      <c r="R26" s="9" t="n">
        <v>6</v>
      </c>
      <c r="S26" s="12" t="s">
        <v>83</v>
      </c>
      <c r="T26" s="10" t="s">
        <v>395</v>
      </c>
      <c r="U26" s="9" t="s">
        <v>80</v>
      </c>
      <c r="V26" s="10" t="s">
        <v>458</v>
      </c>
      <c r="W26" s="10" t="s">
        <v>459</v>
      </c>
      <c r="X26" s="9" t="n">
        <v>1</v>
      </c>
      <c r="Y26" s="9" t="n">
        <v>3</v>
      </c>
      <c r="Z26" s="9" t="n">
        <v>3</v>
      </c>
      <c r="AA26" s="16" t="s">
        <v>278</v>
      </c>
      <c r="AB26" s="10" t="s">
        <v>460</v>
      </c>
      <c r="AC26" s="9" t="s">
        <v>399</v>
      </c>
      <c r="AD26" s="9" t="s">
        <v>128</v>
      </c>
      <c r="AE26" s="10" t="s">
        <v>461</v>
      </c>
      <c r="AF26" s="9" t="s">
        <v>130</v>
      </c>
      <c r="AG26" s="10" t="s">
        <v>462</v>
      </c>
      <c r="AH26" s="9" t="s">
        <v>463</v>
      </c>
      <c r="AI26" s="9" t="s">
        <v>91</v>
      </c>
      <c r="AJ26" s="10" t="s">
        <v>464</v>
      </c>
    </row>
    <row r="27" customFormat="false" ht="94.5" hidden="false" customHeight="true" outlineLevel="0" collapsed="false">
      <c r="A27" s="13" t="s">
        <v>465</v>
      </c>
      <c r="B27" s="14" t="s">
        <v>466</v>
      </c>
      <c r="C27" s="14" t="s">
        <v>467</v>
      </c>
      <c r="D27" s="14" t="s">
        <v>115</v>
      </c>
      <c r="E27" s="14" t="s">
        <v>468</v>
      </c>
      <c r="F27" s="14" t="s">
        <v>469</v>
      </c>
      <c r="G27" s="14" t="s">
        <v>470</v>
      </c>
      <c r="H27" s="14" t="s">
        <v>471</v>
      </c>
      <c r="I27" s="14" t="s">
        <v>472</v>
      </c>
      <c r="J27" s="14" t="s">
        <v>473</v>
      </c>
      <c r="K27" s="14" t="s">
        <v>474</v>
      </c>
      <c r="L27" s="13" t="n">
        <v>4</v>
      </c>
      <c r="M27" s="13" t="n">
        <v>5</v>
      </c>
      <c r="N27" s="13" t="n">
        <v>20</v>
      </c>
      <c r="O27" s="11" t="s">
        <v>78</v>
      </c>
      <c r="P27" s="13" t="n">
        <v>3</v>
      </c>
      <c r="Q27" s="13" t="n">
        <v>4</v>
      </c>
      <c r="R27" s="13" t="n">
        <v>12</v>
      </c>
      <c r="S27" s="15" t="s">
        <v>144</v>
      </c>
      <c r="T27" s="14" t="s">
        <v>79</v>
      </c>
      <c r="U27" s="13" t="s">
        <v>80</v>
      </c>
      <c r="V27" s="14" t="s">
        <v>475</v>
      </c>
      <c r="W27" s="14" t="s">
        <v>476</v>
      </c>
      <c r="X27" s="13" t="n">
        <v>2</v>
      </c>
      <c r="Y27" s="13" t="n">
        <v>3</v>
      </c>
      <c r="Z27" s="13" t="n">
        <v>6</v>
      </c>
      <c r="AA27" s="12" t="s">
        <v>83</v>
      </c>
      <c r="AB27" s="14" t="s">
        <v>477</v>
      </c>
      <c r="AC27" s="13" t="s">
        <v>478</v>
      </c>
      <c r="AD27" s="13" t="s">
        <v>108</v>
      </c>
      <c r="AE27" s="14" t="s">
        <v>479</v>
      </c>
      <c r="AF27" s="13" t="s">
        <v>88</v>
      </c>
      <c r="AG27" s="14" t="s">
        <v>480</v>
      </c>
      <c r="AH27" s="13" t="s">
        <v>90</v>
      </c>
      <c r="AI27" s="13" t="s">
        <v>91</v>
      </c>
      <c r="AJ27" s="14" t="s">
        <v>481</v>
      </c>
    </row>
    <row r="28" customFormat="false" ht="94.5" hidden="false" customHeight="true" outlineLevel="0" collapsed="false">
      <c r="A28" s="9" t="s">
        <v>482</v>
      </c>
      <c r="B28" s="10" t="s">
        <v>483</v>
      </c>
      <c r="C28" s="10" t="s">
        <v>467</v>
      </c>
      <c r="D28" s="10" t="s">
        <v>115</v>
      </c>
      <c r="E28" s="10" t="s">
        <v>484</v>
      </c>
      <c r="F28" s="10" t="s">
        <v>485</v>
      </c>
      <c r="G28" s="10" t="s">
        <v>486</v>
      </c>
      <c r="H28" s="10" t="s">
        <v>487</v>
      </c>
      <c r="I28" s="10" t="s">
        <v>488</v>
      </c>
      <c r="J28" s="10" t="s">
        <v>489</v>
      </c>
      <c r="K28" s="10" t="s">
        <v>490</v>
      </c>
      <c r="L28" s="9" t="n">
        <v>4</v>
      </c>
      <c r="M28" s="9" t="n">
        <v>3</v>
      </c>
      <c r="N28" s="9" t="n">
        <v>12</v>
      </c>
      <c r="O28" s="15" t="s">
        <v>144</v>
      </c>
      <c r="P28" s="9" t="n">
        <v>3</v>
      </c>
      <c r="Q28" s="9" t="n">
        <v>2</v>
      </c>
      <c r="R28" s="9" t="n">
        <v>6</v>
      </c>
      <c r="S28" s="12" t="s">
        <v>83</v>
      </c>
      <c r="T28" s="10" t="s">
        <v>123</v>
      </c>
      <c r="U28" s="9" t="s">
        <v>80</v>
      </c>
      <c r="V28" s="10" t="s">
        <v>491</v>
      </c>
      <c r="W28" s="10" t="s">
        <v>492</v>
      </c>
      <c r="X28" s="9" t="n">
        <v>2</v>
      </c>
      <c r="Y28" s="9" t="n">
        <v>2</v>
      </c>
      <c r="Z28" s="9" t="n">
        <v>4</v>
      </c>
      <c r="AA28" s="16" t="s">
        <v>278</v>
      </c>
      <c r="AB28" s="10" t="s">
        <v>493</v>
      </c>
      <c r="AC28" s="9" t="s">
        <v>167</v>
      </c>
      <c r="AD28" s="9" t="s">
        <v>494</v>
      </c>
      <c r="AE28" s="10" t="s">
        <v>495</v>
      </c>
      <c r="AF28" s="9" t="s">
        <v>130</v>
      </c>
      <c r="AG28" s="10" t="s">
        <v>496</v>
      </c>
      <c r="AH28" s="9" t="s">
        <v>132</v>
      </c>
      <c r="AI28" s="9" t="s">
        <v>91</v>
      </c>
      <c r="AJ28" s="10" t="s">
        <v>497</v>
      </c>
    </row>
    <row r="29" customFormat="false" ht="94.5" hidden="false" customHeight="true" outlineLevel="0" collapsed="false">
      <c r="A29" s="13" t="s">
        <v>498</v>
      </c>
      <c r="B29" s="14" t="s">
        <v>499</v>
      </c>
      <c r="C29" s="14" t="s">
        <v>467</v>
      </c>
      <c r="D29" s="14" t="s">
        <v>306</v>
      </c>
      <c r="E29" s="14" t="s">
        <v>500</v>
      </c>
      <c r="F29" s="14" t="s">
        <v>501</v>
      </c>
      <c r="G29" s="14" t="s">
        <v>502</v>
      </c>
      <c r="H29" s="14" t="s">
        <v>503</v>
      </c>
      <c r="I29" s="14" t="s">
        <v>504</v>
      </c>
      <c r="J29" s="14" t="s">
        <v>505</v>
      </c>
      <c r="K29" s="14" t="s">
        <v>506</v>
      </c>
      <c r="L29" s="13" t="n">
        <v>4</v>
      </c>
      <c r="M29" s="13" t="n">
        <v>3</v>
      </c>
      <c r="N29" s="13" t="n">
        <v>12</v>
      </c>
      <c r="O29" s="15" t="s">
        <v>144</v>
      </c>
      <c r="P29" s="13" t="n">
        <v>3</v>
      </c>
      <c r="Q29" s="13" t="n">
        <v>2</v>
      </c>
      <c r="R29" s="13" t="n">
        <v>6</v>
      </c>
      <c r="S29" s="12" t="s">
        <v>83</v>
      </c>
      <c r="T29" s="14" t="s">
        <v>163</v>
      </c>
      <c r="U29" s="13" t="s">
        <v>80</v>
      </c>
      <c r="V29" s="14" t="s">
        <v>507</v>
      </c>
      <c r="W29" s="14" t="s">
        <v>508</v>
      </c>
      <c r="X29" s="13" t="n">
        <v>2</v>
      </c>
      <c r="Y29" s="13" t="n">
        <v>2</v>
      </c>
      <c r="Z29" s="13" t="n">
        <v>4</v>
      </c>
      <c r="AA29" s="16" t="s">
        <v>278</v>
      </c>
      <c r="AB29" s="14" t="s">
        <v>509</v>
      </c>
      <c r="AC29" s="13" t="s">
        <v>85</v>
      </c>
      <c r="AD29" s="13" t="s">
        <v>128</v>
      </c>
      <c r="AE29" s="14" t="s">
        <v>510</v>
      </c>
      <c r="AF29" s="13" t="s">
        <v>88</v>
      </c>
      <c r="AG29" s="14" t="s">
        <v>511</v>
      </c>
      <c r="AH29" s="13" t="s">
        <v>187</v>
      </c>
      <c r="AI29" s="13" t="s">
        <v>91</v>
      </c>
      <c r="AJ29" s="14" t="s">
        <v>512</v>
      </c>
    </row>
    <row r="30" customFormat="false" ht="94.5" hidden="false" customHeight="true" outlineLevel="0" collapsed="false">
      <c r="A30" s="9" t="s">
        <v>513</v>
      </c>
      <c r="B30" s="10" t="s">
        <v>514</v>
      </c>
      <c r="C30" s="10" t="s">
        <v>467</v>
      </c>
      <c r="D30" s="10" t="s">
        <v>306</v>
      </c>
      <c r="E30" s="10" t="s">
        <v>515</v>
      </c>
      <c r="F30" s="10" t="s">
        <v>516</v>
      </c>
      <c r="G30" s="10" t="s">
        <v>517</v>
      </c>
      <c r="H30" s="10" t="s">
        <v>518</v>
      </c>
      <c r="I30" s="10" t="s">
        <v>519</v>
      </c>
      <c r="J30" s="10" t="s">
        <v>520</v>
      </c>
      <c r="K30" s="10" t="s">
        <v>521</v>
      </c>
      <c r="L30" s="9" t="n">
        <v>3</v>
      </c>
      <c r="M30" s="9" t="n">
        <v>3</v>
      </c>
      <c r="N30" s="9" t="n">
        <v>9</v>
      </c>
      <c r="O30" s="12" t="s">
        <v>83</v>
      </c>
      <c r="P30" s="9" t="n">
        <v>3</v>
      </c>
      <c r="Q30" s="9" t="n">
        <v>2</v>
      </c>
      <c r="R30" s="9" t="n">
        <v>6</v>
      </c>
      <c r="S30" s="12" t="s">
        <v>83</v>
      </c>
      <c r="T30" s="10" t="s">
        <v>275</v>
      </c>
      <c r="U30" s="9" t="s">
        <v>80</v>
      </c>
      <c r="V30" s="10" t="s">
        <v>522</v>
      </c>
      <c r="W30" s="10" t="s">
        <v>523</v>
      </c>
      <c r="X30" s="9" t="n">
        <v>2</v>
      </c>
      <c r="Y30" s="9" t="n">
        <v>2</v>
      </c>
      <c r="Z30" s="9" t="n">
        <v>4</v>
      </c>
      <c r="AA30" s="16" t="s">
        <v>278</v>
      </c>
      <c r="AB30" s="10" t="s">
        <v>524</v>
      </c>
      <c r="AC30" s="9" t="s">
        <v>85</v>
      </c>
      <c r="AD30" s="9" t="s">
        <v>216</v>
      </c>
      <c r="AE30" s="10" t="s">
        <v>525</v>
      </c>
      <c r="AF30" s="9" t="s">
        <v>88</v>
      </c>
      <c r="AG30" s="10" t="s">
        <v>526</v>
      </c>
      <c r="AH30" s="9" t="s">
        <v>170</v>
      </c>
      <c r="AI30" s="9" t="s">
        <v>91</v>
      </c>
      <c r="AJ30" s="10" t="s">
        <v>527</v>
      </c>
    </row>
    <row r="31" customFormat="false" ht="94.5" hidden="false" customHeight="true" outlineLevel="0" collapsed="false">
      <c r="A31" s="13" t="s">
        <v>528</v>
      </c>
      <c r="B31" s="14" t="s">
        <v>529</v>
      </c>
      <c r="C31" s="14" t="s">
        <v>467</v>
      </c>
      <c r="D31" s="14" t="s">
        <v>530</v>
      </c>
      <c r="E31" s="14" t="s">
        <v>531</v>
      </c>
      <c r="F31" s="14" t="s">
        <v>532</v>
      </c>
      <c r="G31" s="14" t="s">
        <v>533</v>
      </c>
      <c r="H31" s="14" t="s">
        <v>534</v>
      </c>
      <c r="I31" s="14" t="s">
        <v>535</v>
      </c>
      <c r="J31" s="14" t="s">
        <v>536</v>
      </c>
      <c r="K31" s="14" t="s">
        <v>537</v>
      </c>
      <c r="L31" s="13" t="n">
        <v>3</v>
      </c>
      <c r="M31" s="13" t="n">
        <v>4</v>
      </c>
      <c r="N31" s="13" t="n">
        <v>12</v>
      </c>
      <c r="O31" s="15" t="s">
        <v>144</v>
      </c>
      <c r="P31" s="13" t="n">
        <v>2</v>
      </c>
      <c r="Q31" s="13" t="n">
        <v>3</v>
      </c>
      <c r="R31" s="13" t="n">
        <v>6</v>
      </c>
      <c r="S31" s="12" t="s">
        <v>83</v>
      </c>
      <c r="T31" s="14" t="s">
        <v>145</v>
      </c>
      <c r="U31" s="13" t="s">
        <v>80</v>
      </c>
      <c r="V31" s="14" t="s">
        <v>538</v>
      </c>
      <c r="W31" s="14" t="s">
        <v>539</v>
      </c>
      <c r="X31" s="13" t="n">
        <v>1</v>
      </c>
      <c r="Y31" s="13" t="n">
        <v>3</v>
      </c>
      <c r="Z31" s="13" t="n">
        <v>3</v>
      </c>
      <c r="AA31" s="16" t="s">
        <v>278</v>
      </c>
      <c r="AB31" s="14" t="s">
        <v>540</v>
      </c>
      <c r="AC31" s="13" t="s">
        <v>107</v>
      </c>
      <c r="AD31" s="13" t="s">
        <v>128</v>
      </c>
      <c r="AE31" s="14" t="s">
        <v>541</v>
      </c>
      <c r="AF31" s="13" t="s">
        <v>130</v>
      </c>
      <c r="AG31" s="14" t="s">
        <v>542</v>
      </c>
      <c r="AH31" s="13" t="s">
        <v>283</v>
      </c>
      <c r="AI31" s="13" t="s">
        <v>91</v>
      </c>
      <c r="AJ31" s="14" t="s">
        <v>543</v>
      </c>
    </row>
    <row r="32" customFormat="false" ht="94.5" hidden="false" customHeight="true" outlineLevel="0" collapsed="false">
      <c r="A32" s="9" t="s">
        <v>544</v>
      </c>
      <c r="B32" s="10" t="s">
        <v>545</v>
      </c>
      <c r="C32" s="10" t="s">
        <v>546</v>
      </c>
      <c r="D32" s="10" t="s">
        <v>287</v>
      </c>
      <c r="E32" s="10" t="s">
        <v>547</v>
      </c>
      <c r="F32" s="10" t="s">
        <v>548</v>
      </c>
      <c r="G32" s="10" t="s">
        <v>549</v>
      </c>
      <c r="H32" s="10" t="s">
        <v>550</v>
      </c>
      <c r="I32" s="10" t="s">
        <v>551</v>
      </c>
      <c r="J32" s="10" t="s">
        <v>552</v>
      </c>
      <c r="K32" s="10" t="s">
        <v>553</v>
      </c>
      <c r="L32" s="9" t="n">
        <v>4</v>
      </c>
      <c r="M32" s="9" t="n">
        <v>4</v>
      </c>
      <c r="N32" s="9" t="n">
        <v>16</v>
      </c>
      <c r="O32" s="11" t="s">
        <v>78</v>
      </c>
      <c r="P32" s="9" t="n">
        <v>3</v>
      </c>
      <c r="Q32" s="9" t="n">
        <v>3</v>
      </c>
      <c r="R32" s="9" t="n">
        <v>9</v>
      </c>
      <c r="S32" s="12" t="s">
        <v>83</v>
      </c>
      <c r="T32" s="10" t="s">
        <v>378</v>
      </c>
      <c r="U32" s="9" t="s">
        <v>80</v>
      </c>
      <c r="V32" s="10" t="s">
        <v>554</v>
      </c>
      <c r="W32" s="10" t="s">
        <v>555</v>
      </c>
      <c r="X32" s="9" t="n">
        <v>2</v>
      </c>
      <c r="Y32" s="9" t="n">
        <v>3</v>
      </c>
      <c r="Z32" s="9" t="n">
        <v>6</v>
      </c>
      <c r="AA32" s="12" t="s">
        <v>83</v>
      </c>
      <c r="AB32" s="10" t="s">
        <v>556</v>
      </c>
      <c r="AC32" s="9" t="s">
        <v>167</v>
      </c>
      <c r="AD32" s="9" t="s">
        <v>108</v>
      </c>
      <c r="AE32" s="10" t="s">
        <v>557</v>
      </c>
      <c r="AF32" s="9" t="s">
        <v>88</v>
      </c>
      <c r="AG32" s="10" t="s">
        <v>558</v>
      </c>
      <c r="AH32" s="9" t="s">
        <v>90</v>
      </c>
      <c r="AI32" s="9" t="s">
        <v>91</v>
      </c>
      <c r="AJ32" s="10" t="s">
        <v>559</v>
      </c>
    </row>
    <row r="33" customFormat="false" ht="94.5" hidden="false" customHeight="true" outlineLevel="0" collapsed="false">
      <c r="A33" s="13" t="s">
        <v>560</v>
      </c>
      <c r="B33" s="14" t="s">
        <v>561</v>
      </c>
      <c r="C33" s="14" t="s">
        <v>546</v>
      </c>
      <c r="D33" s="14" t="s">
        <v>136</v>
      </c>
      <c r="E33" s="14" t="s">
        <v>562</v>
      </c>
      <c r="F33" s="14" t="s">
        <v>563</v>
      </c>
      <c r="G33" s="14" t="s">
        <v>564</v>
      </c>
      <c r="H33" s="14" t="s">
        <v>565</v>
      </c>
      <c r="I33" s="14" t="s">
        <v>566</v>
      </c>
      <c r="J33" s="14" t="s">
        <v>567</v>
      </c>
      <c r="K33" s="14" t="s">
        <v>568</v>
      </c>
      <c r="L33" s="13" t="n">
        <v>4</v>
      </c>
      <c r="M33" s="13" t="n">
        <v>4</v>
      </c>
      <c r="N33" s="13" t="n">
        <v>16</v>
      </c>
      <c r="O33" s="11" t="s">
        <v>78</v>
      </c>
      <c r="P33" s="13" t="n">
        <v>3</v>
      </c>
      <c r="Q33" s="13" t="n">
        <v>3</v>
      </c>
      <c r="R33" s="13" t="n">
        <v>9</v>
      </c>
      <c r="S33" s="12" t="s">
        <v>83</v>
      </c>
      <c r="T33" s="14" t="s">
        <v>378</v>
      </c>
      <c r="U33" s="13" t="s">
        <v>80</v>
      </c>
      <c r="V33" s="14" t="s">
        <v>569</v>
      </c>
      <c r="W33" s="14" t="s">
        <v>570</v>
      </c>
      <c r="X33" s="13" t="n">
        <v>2</v>
      </c>
      <c r="Y33" s="13" t="n">
        <v>3</v>
      </c>
      <c r="Z33" s="13" t="n">
        <v>6</v>
      </c>
      <c r="AA33" s="12" t="s">
        <v>83</v>
      </c>
      <c r="AB33" s="14" t="s">
        <v>571</v>
      </c>
      <c r="AC33" s="13" t="s">
        <v>85</v>
      </c>
      <c r="AD33" s="13" t="s">
        <v>108</v>
      </c>
      <c r="AE33" s="14" t="s">
        <v>572</v>
      </c>
      <c r="AF33" s="13" t="s">
        <v>88</v>
      </c>
      <c r="AG33" s="14" t="s">
        <v>573</v>
      </c>
      <c r="AH33" s="13" t="s">
        <v>90</v>
      </c>
      <c r="AI33" s="13" t="s">
        <v>91</v>
      </c>
      <c r="AJ33" s="14" t="s">
        <v>574</v>
      </c>
    </row>
    <row r="34" customFormat="false" ht="94.5" hidden="false" customHeight="true" outlineLevel="0" collapsed="false">
      <c r="A34" s="9" t="s">
        <v>575</v>
      </c>
      <c r="B34" s="10" t="s">
        <v>576</v>
      </c>
      <c r="C34" s="10" t="s">
        <v>546</v>
      </c>
      <c r="D34" s="10" t="s">
        <v>287</v>
      </c>
      <c r="E34" s="10" t="s">
        <v>577</v>
      </c>
      <c r="F34" s="10" t="s">
        <v>578</v>
      </c>
      <c r="G34" s="10" t="s">
        <v>579</v>
      </c>
      <c r="H34" s="10" t="s">
        <v>580</v>
      </c>
      <c r="I34" s="10" t="s">
        <v>581</v>
      </c>
      <c r="J34" s="10" t="s">
        <v>582</v>
      </c>
      <c r="K34" s="10" t="s">
        <v>583</v>
      </c>
      <c r="L34" s="9" t="n">
        <v>4</v>
      </c>
      <c r="M34" s="9" t="n">
        <v>3</v>
      </c>
      <c r="N34" s="9" t="n">
        <v>12</v>
      </c>
      <c r="O34" s="15" t="s">
        <v>144</v>
      </c>
      <c r="P34" s="9" t="n">
        <v>3</v>
      </c>
      <c r="Q34" s="9" t="n">
        <v>3</v>
      </c>
      <c r="R34" s="9" t="n">
        <v>9</v>
      </c>
      <c r="S34" s="12" t="s">
        <v>83</v>
      </c>
      <c r="T34" s="10" t="s">
        <v>584</v>
      </c>
      <c r="U34" s="9" t="s">
        <v>80</v>
      </c>
      <c r="V34" s="10" t="s">
        <v>585</v>
      </c>
      <c r="W34" s="10" t="s">
        <v>586</v>
      </c>
      <c r="X34" s="9" t="n">
        <v>2</v>
      </c>
      <c r="Y34" s="9" t="n">
        <v>2</v>
      </c>
      <c r="Z34" s="9" t="n">
        <v>4</v>
      </c>
      <c r="AA34" s="16" t="s">
        <v>278</v>
      </c>
      <c r="AB34" s="10" t="s">
        <v>587</v>
      </c>
      <c r="AC34" s="9" t="s">
        <v>149</v>
      </c>
      <c r="AD34" s="9" t="s">
        <v>588</v>
      </c>
      <c r="AE34" s="10" t="s">
        <v>589</v>
      </c>
      <c r="AF34" s="9" t="s">
        <v>88</v>
      </c>
      <c r="AG34" s="10" t="s">
        <v>590</v>
      </c>
      <c r="AH34" s="9" t="s">
        <v>187</v>
      </c>
      <c r="AI34" s="9" t="s">
        <v>91</v>
      </c>
      <c r="AJ34" s="10" t="s">
        <v>591</v>
      </c>
    </row>
    <row r="35" customFormat="false" ht="94.5" hidden="false" customHeight="true" outlineLevel="0" collapsed="false">
      <c r="A35" s="13" t="s">
        <v>592</v>
      </c>
      <c r="B35" s="14" t="s">
        <v>593</v>
      </c>
      <c r="C35" s="14" t="s">
        <v>546</v>
      </c>
      <c r="D35" s="14" t="s">
        <v>287</v>
      </c>
      <c r="E35" s="14" t="s">
        <v>594</v>
      </c>
      <c r="F35" s="14" t="s">
        <v>595</v>
      </c>
      <c r="G35" s="14" t="s">
        <v>596</v>
      </c>
      <c r="H35" s="14" t="s">
        <v>597</v>
      </c>
      <c r="I35" s="14" t="s">
        <v>598</v>
      </c>
      <c r="J35" s="14" t="s">
        <v>599</v>
      </c>
      <c r="K35" s="14" t="s">
        <v>600</v>
      </c>
      <c r="L35" s="13" t="n">
        <v>3</v>
      </c>
      <c r="M35" s="13" t="n">
        <v>4</v>
      </c>
      <c r="N35" s="13" t="n">
        <v>12</v>
      </c>
      <c r="O35" s="15" t="s">
        <v>144</v>
      </c>
      <c r="P35" s="13" t="n">
        <v>2</v>
      </c>
      <c r="Q35" s="13" t="n">
        <v>3</v>
      </c>
      <c r="R35" s="13" t="n">
        <v>6</v>
      </c>
      <c r="S35" s="12" t="s">
        <v>83</v>
      </c>
      <c r="T35" s="14" t="s">
        <v>601</v>
      </c>
      <c r="U35" s="13" t="s">
        <v>80</v>
      </c>
      <c r="V35" s="14" t="s">
        <v>602</v>
      </c>
      <c r="W35" s="14" t="s">
        <v>603</v>
      </c>
      <c r="X35" s="13" t="n">
        <v>1</v>
      </c>
      <c r="Y35" s="13" t="n">
        <v>3</v>
      </c>
      <c r="Z35" s="13" t="n">
        <v>3</v>
      </c>
      <c r="AA35" s="16" t="s">
        <v>278</v>
      </c>
      <c r="AB35" s="14" t="s">
        <v>604</v>
      </c>
      <c r="AC35" s="13" t="s">
        <v>85</v>
      </c>
      <c r="AD35" s="13" t="s">
        <v>605</v>
      </c>
      <c r="AE35" s="14" t="s">
        <v>606</v>
      </c>
      <c r="AF35" s="13" t="s">
        <v>88</v>
      </c>
      <c r="AG35" s="14" t="s">
        <v>607</v>
      </c>
      <c r="AH35" s="13" t="s">
        <v>90</v>
      </c>
      <c r="AI35" s="13" t="s">
        <v>91</v>
      </c>
      <c r="AJ35" s="14" t="s">
        <v>608</v>
      </c>
    </row>
    <row r="36" customFormat="false" ht="94.5" hidden="false" customHeight="true" outlineLevel="0" collapsed="false">
      <c r="A36" s="9" t="s">
        <v>609</v>
      </c>
      <c r="B36" s="10" t="s">
        <v>610</v>
      </c>
      <c r="C36" s="10" t="s">
        <v>546</v>
      </c>
      <c r="D36" s="10" t="s">
        <v>136</v>
      </c>
      <c r="E36" s="10" t="s">
        <v>611</v>
      </c>
      <c r="F36" s="10" t="s">
        <v>612</v>
      </c>
      <c r="G36" s="10" t="s">
        <v>613</v>
      </c>
      <c r="H36" s="10" t="s">
        <v>614</v>
      </c>
      <c r="I36" s="10" t="s">
        <v>615</v>
      </c>
      <c r="J36" s="10" t="s">
        <v>616</v>
      </c>
      <c r="K36" s="10" t="s">
        <v>617</v>
      </c>
      <c r="L36" s="9" t="n">
        <v>2</v>
      </c>
      <c r="M36" s="9" t="n">
        <v>4</v>
      </c>
      <c r="N36" s="9" t="n">
        <v>8</v>
      </c>
      <c r="O36" s="12" t="s">
        <v>83</v>
      </c>
      <c r="P36" s="9" t="n">
        <v>2</v>
      </c>
      <c r="Q36" s="9" t="n">
        <v>3</v>
      </c>
      <c r="R36" s="9" t="n">
        <v>6</v>
      </c>
      <c r="S36" s="12" t="s">
        <v>83</v>
      </c>
      <c r="T36" s="10" t="s">
        <v>145</v>
      </c>
      <c r="U36" s="9" t="s">
        <v>80</v>
      </c>
      <c r="V36" s="10" t="s">
        <v>618</v>
      </c>
      <c r="W36" s="10" t="s">
        <v>619</v>
      </c>
      <c r="X36" s="9" t="n">
        <v>1</v>
      </c>
      <c r="Y36" s="9" t="n">
        <v>3</v>
      </c>
      <c r="Z36" s="9" t="n">
        <v>3</v>
      </c>
      <c r="AA36" s="16" t="s">
        <v>278</v>
      </c>
      <c r="AB36" s="10" t="s">
        <v>620</v>
      </c>
      <c r="AC36" s="9" t="s">
        <v>621</v>
      </c>
      <c r="AD36" s="9" t="s">
        <v>445</v>
      </c>
      <c r="AE36" s="10" t="s">
        <v>622</v>
      </c>
      <c r="AF36" s="9" t="s">
        <v>300</v>
      </c>
      <c r="AG36" s="10" t="s">
        <v>201</v>
      </c>
      <c r="AH36" s="9" t="s">
        <v>90</v>
      </c>
      <c r="AI36" s="9" t="s">
        <v>91</v>
      </c>
      <c r="AJ36" s="10" t="s">
        <v>623</v>
      </c>
    </row>
    <row r="37" customFormat="false" ht="94.5" hidden="false" customHeight="true" outlineLevel="0" collapsed="false">
      <c r="A37" s="13" t="s">
        <v>624</v>
      </c>
      <c r="B37" s="14" t="s">
        <v>625</v>
      </c>
      <c r="C37" s="14" t="s">
        <v>546</v>
      </c>
      <c r="D37" s="14" t="s">
        <v>95</v>
      </c>
      <c r="E37" s="14" t="s">
        <v>626</v>
      </c>
      <c r="F37" s="14" t="s">
        <v>627</v>
      </c>
      <c r="G37" s="14" t="s">
        <v>628</v>
      </c>
      <c r="H37" s="14" t="s">
        <v>629</v>
      </c>
      <c r="I37" s="14" t="s">
        <v>630</v>
      </c>
      <c r="J37" s="14" t="s">
        <v>631</v>
      </c>
      <c r="K37" s="14" t="s">
        <v>632</v>
      </c>
      <c r="L37" s="13" t="n">
        <v>3</v>
      </c>
      <c r="M37" s="13" t="n">
        <v>4</v>
      </c>
      <c r="N37" s="13" t="n">
        <v>12</v>
      </c>
      <c r="O37" s="15" t="s">
        <v>144</v>
      </c>
      <c r="P37" s="13" t="n">
        <v>3</v>
      </c>
      <c r="Q37" s="13" t="n">
        <v>3</v>
      </c>
      <c r="R37" s="13" t="n">
        <v>9</v>
      </c>
      <c r="S37" s="12" t="s">
        <v>83</v>
      </c>
      <c r="T37" s="14" t="s">
        <v>145</v>
      </c>
      <c r="U37" s="13" t="s">
        <v>80</v>
      </c>
      <c r="V37" s="14" t="s">
        <v>633</v>
      </c>
      <c r="W37" s="14" t="s">
        <v>634</v>
      </c>
      <c r="X37" s="13" t="n">
        <v>2</v>
      </c>
      <c r="Y37" s="13" t="n">
        <v>3</v>
      </c>
      <c r="Z37" s="13" t="n">
        <v>6</v>
      </c>
      <c r="AA37" s="12" t="s">
        <v>83</v>
      </c>
      <c r="AB37" s="14" t="s">
        <v>635</v>
      </c>
      <c r="AC37" s="13" t="s">
        <v>149</v>
      </c>
      <c r="AD37" s="13" t="s">
        <v>128</v>
      </c>
      <c r="AE37" s="14" t="s">
        <v>636</v>
      </c>
      <c r="AF37" s="13" t="s">
        <v>88</v>
      </c>
      <c r="AG37" s="14" t="s">
        <v>637</v>
      </c>
      <c r="AH37" s="13" t="s">
        <v>187</v>
      </c>
      <c r="AI37" s="13" t="s">
        <v>91</v>
      </c>
      <c r="AJ37" s="14" t="s">
        <v>638</v>
      </c>
    </row>
    <row r="38" customFormat="false" ht="94.5" hidden="false" customHeight="true" outlineLevel="0" collapsed="false">
      <c r="A38" s="9" t="s">
        <v>639</v>
      </c>
      <c r="B38" s="10" t="s">
        <v>640</v>
      </c>
      <c r="C38" s="10" t="s">
        <v>641</v>
      </c>
      <c r="D38" s="10" t="s">
        <v>115</v>
      </c>
      <c r="E38" s="10" t="s">
        <v>642</v>
      </c>
      <c r="F38" s="10" t="s">
        <v>643</v>
      </c>
      <c r="G38" s="10" t="s">
        <v>644</v>
      </c>
      <c r="H38" s="10" t="s">
        <v>645</v>
      </c>
      <c r="I38" s="10" t="s">
        <v>646</v>
      </c>
      <c r="J38" s="10" t="s">
        <v>647</v>
      </c>
      <c r="K38" s="10" t="s">
        <v>648</v>
      </c>
      <c r="L38" s="9" t="n">
        <v>2</v>
      </c>
      <c r="M38" s="9" t="n">
        <v>4</v>
      </c>
      <c r="N38" s="9" t="n">
        <v>8</v>
      </c>
      <c r="O38" s="12" t="s">
        <v>83</v>
      </c>
      <c r="P38" s="9" t="n">
        <v>2</v>
      </c>
      <c r="Q38" s="9" t="n">
        <v>3</v>
      </c>
      <c r="R38" s="9" t="n">
        <v>6</v>
      </c>
      <c r="S38" s="12" t="s">
        <v>83</v>
      </c>
      <c r="T38" s="10" t="s">
        <v>649</v>
      </c>
      <c r="U38" s="9" t="s">
        <v>80</v>
      </c>
      <c r="V38" s="10" t="s">
        <v>650</v>
      </c>
      <c r="W38" s="10" t="s">
        <v>651</v>
      </c>
      <c r="X38" s="9" t="n">
        <v>1</v>
      </c>
      <c r="Y38" s="9" t="n">
        <v>3</v>
      </c>
      <c r="Z38" s="9" t="n">
        <v>3</v>
      </c>
      <c r="AA38" s="16" t="s">
        <v>278</v>
      </c>
      <c r="AB38" s="10" t="s">
        <v>652</v>
      </c>
      <c r="AC38" s="9" t="s">
        <v>85</v>
      </c>
      <c r="AD38" s="9" t="s">
        <v>216</v>
      </c>
      <c r="AE38" s="10" t="s">
        <v>653</v>
      </c>
      <c r="AF38" s="9" t="s">
        <v>88</v>
      </c>
      <c r="AG38" s="10" t="s">
        <v>654</v>
      </c>
      <c r="AH38" s="9" t="s">
        <v>170</v>
      </c>
      <c r="AI38" s="9" t="s">
        <v>91</v>
      </c>
      <c r="AJ38" s="10" t="s">
        <v>655</v>
      </c>
    </row>
    <row r="39" customFormat="false" ht="94.5" hidden="false" customHeight="true" outlineLevel="0" collapsed="false">
      <c r="A39" s="13" t="s">
        <v>656</v>
      </c>
      <c r="B39" s="14" t="s">
        <v>657</v>
      </c>
      <c r="C39" s="14" t="s">
        <v>641</v>
      </c>
      <c r="D39" s="14" t="s">
        <v>658</v>
      </c>
      <c r="E39" s="14" t="s">
        <v>659</v>
      </c>
      <c r="F39" s="14" t="s">
        <v>643</v>
      </c>
      <c r="G39" s="14" t="s">
        <v>660</v>
      </c>
      <c r="H39" s="14" t="s">
        <v>661</v>
      </c>
      <c r="I39" s="14" t="s">
        <v>662</v>
      </c>
      <c r="J39" s="14" t="s">
        <v>663</v>
      </c>
      <c r="K39" s="14" t="s">
        <v>664</v>
      </c>
      <c r="L39" s="13" t="n">
        <v>3</v>
      </c>
      <c r="M39" s="13" t="n">
        <v>3</v>
      </c>
      <c r="N39" s="13" t="n">
        <v>9</v>
      </c>
      <c r="O39" s="12" t="s">
        <v>83</v>
      </c>
      <c r="P39" s="13" t="n">
        <v>2</v>
      </c>
      <c r="Q39" s="13" t="n">
        <v>2</v>
      </c>
      <c r="R39" s="13" t="n">
        <v>4</v>
      </c>
      <c r="S39" s="16" t="s">
        <v>278</v>
      </c>
      <c r="T39" s="14" t="s">
        <v>665</v>
      </c>
      <c r="U39" s="13" t="s">
        <v>80</v>
      </c>
      <c r="V39" s="14" t="s">
        <v>666</v>
      </c>
      <c r="W39" s="14" t="s">
        <v>667</v>
      </c>
      <c r="X39" s="13" t="n">
        <v>2</v>
      </c>
      <c r="Y39" s="13" t="n">
        <v>2</v>
      </c>
      <c r="Z39" s="13" t="n">
        <v>4</v>
      </c>
      <c r="AA39" s="16" t="s">
        <v>278</v>
      </c>
      <c r="AB39" s="14" t="s">
        <v>668</v>
      </c>
      <c r="AC39" s="13" t="s">
        <v>399</v>
      </c>
      <c r="AD39" s="13" t="s">
        <v>216</v>
      </c>
      <c r="AE39" s="14" t="s">
        <v>669</v>
      </c>
      <c r="AF39" s="13" t="s">
        <v>130</v>
      </c>
      <c r="AG39" s="14" t="s">
        <v>670</v>
      </c>
      <c r="AH39" s="13" t="s">
        <v>463</v>
      </c>
      <c r="AI39" s="13" t="s">
        <v>91</v>
      </c>
      <c r="AJ39" s="14" t="s">
        <v>671</v>
      </c>
    </row>
    <row r="40" customFormat="false" ht="94.5" hidden="false" customHeight="true" outlineLevel="0" collapsed="false">
      <c r="A40" s="9" t="s">
        <v>672</v>
      </c>
      <c r="B40" s="10" t="s">
        <v>673</v>
      </c>
      <c r="C40" s="10" t="s">
        <v>641</v>
      </c>
      <c r="D40" s="10" t="s">
        <v>70</v>
      </c>
      <c r="E40" s="10" t="s">
        <v>674</v>
      </c>
      <c r="F40" s="10" t="s">
        <v>675</v>
      </c>
      <c r="G40" s="10" t="s">
        <v>676</v>
      </c>
      <c r="H40" s="10" t="s">
        <v>677</v>
      </c>
      <c r="I40" s="10" t="s">
        <v>678</v>
      </c>
      <c r="J40" s="10" t="s">
        <v>679</v>
      </c>
      <c r="K40" s="10" t="s">
        <v>680</v>
      </c>
      <c r="L40" s="9" t="n">
        <v>4</v>
      </c>
      <c r="M40" s="9" t="n">
        <v>3</v>
      </c>
      <c r="N40" s="9" t="n">
        <v>12</v>
      </c>
      <c r="O40" s="15" t="s">
        <v>144</v>
      </c>
      <c r="P40" s="9" t="n">
        <v>3</v>
      </c>
      <c r="Q40" s="9" t="n">
        <v>3</v>
      </c>
      <c r="R40" s="9" t="n">
        <v>9</v>
      </c>
      <c r="S40" s="12" t="s">
        <v>83</v>
      </c>
      <c r="T40" s="10" t="s">
        <v>681</v>
      </c>
      <c r="U40" s="9" t="s">
        <v>80</v>
      </c>
      <c r="V40" s="10" t="s">
        <v>682</v>
      </c>
      <c r="W40" s="10" t="s">
        <v>683</v>
      </c>
      <c r="X40" s="9" t="n">
        <v>2</v>
      </c>
      <c r="Y40" s="9" t="n">
        <v>3</v>
      </c>
      <c r="Z40" s="9" t="n">
        <v>6</v>
      </c>
      <c r="AA40" s="12" t="s">
        <v>83</v>
      </c>
      <c r="AB40" s="10" t="s">
        <v>684</v>
      </c>
      <c r="AC40" s="9" t="s">
        <v>107</v>
      </c>
      <c r="AD40" s="9" t="s">
        <v>128</v>
      </c>
      <c r="AE40" s="10" t="s">
        <v>685</v>
      </c>
      <c r="AF40" s="9" t="s">
        <v>88</v>
      </c>
      <c r="AG40" s="10" t="s">
        <v>686</v>
      </c>
      <c r="AH40" s="9" t="s">
        <v>152</v>
      </c>
      <c r="AI40" s="9" t="s">
        <v>91</v>
      </c>
      <c r="AJ40" s="10" t="s">
        <v>687</v>
      </c>
    </row>
    <row r="41" customFormat="false" ht="94.5" hidden="false" customHeight="true" outlineLevel="0" collapsed="false">
      <c r="A41" s="13" t="s">
        <v>688</v>
      </c>
      <c r="B41" s="14" t="s">
        <v>689</v>
      </c>
      <c r="C41" s="14" t="s">
        <v>690</v>
      </c>
      <c r="D41" s="14" t="s">
        <v>223</v>
      </c>
      <c r="E41" s="14" t="s">
        <v>691</v>
      </c>
      <c r="F41" s="14" t="s">
        <v>406</v>
      </c>
      <c r="G41" s="14" t="s">
        <v>692</v>
      </c>
      <c r="H41" s="14" t="s">
        <v>693</v>
      </c>
      <c r="I41" s="14" t="s">
        <v>694</v>
      </c>
      <c r="J41" s="14" t="s">
        <v>695</v>
      </c>
      <c r="K41" s="14" t="s">
        <v>696</v>
      </c>
      <c r="L41" s="13" t="n">
        <v>3</v>
      </c>
      <c r="M41" s="13" t="n">
        <v>3</v>
      </c>
      <c r="N41" s="13" t="n">
        <v>9</v>
      </c>
      <c r="O41" s="12" t="s">
        <v>83</v>
      </c>
      <c r="P41" s="13" t="n">
        <v>2</v>
      </c>
      <c r="Q41" s="13" t="n">
        <v>3</v>
      </c>
      <c r="R41" s="13" t="n">
        <v>6</v>
      </c>
      <c r="S41" s="12" t="s">
        <v>83</v>
      </c>
      <c r="T41" s="14" t="s">
        <v>260</v>
      </c>
      <c r="U41" s="13" t="s">
        <v>80</v>
      </c>
      <c r="V41" s="14" t="s">
        <v>697</v>
      </c>
      <c r="W41" s="14" t="s">
        <v>698</v>
      </c>
      <c r="X41" s="13" t="n">
        <v>1</v>
      </c>
      <c r="Y41" s="13" t="n">
        <v>3</v>
      </c>
      <c r="Z41" s="13" t="n">
        <v>3</v>
      </c>
      <c r="AA41" s="16" t="s">
        <v>278</v>
      </c>
      <c r="AB41" s="14" t="s">
        <v>699</v>
      </c>
      <c r="AC41" s="13" t="s">
        <v>107</v>
      </c>
      <c r="AD41" s="13" t="s">
        <v>128</v>
      </c>
      <c r="AE41" s="14" t="s">
        <v>700</v>
      </c>
      <c r="AF41" s="13" t="s">
        <v>88</v>
      </c>
      <c r="AG41" s="14" t="s">
        <v>701</v>
      </c>
      <c r="AH41" s="13" t="s">
        <v>111</v>
      </c>
      <c r="AI41" s="13" t="s">
        <v>91</v>
      </c>
      <c r="AJ41" s="14" t="s">
        <v>702</v>
      </c>
    </row>
    <row r="42" customFormat="false" ht="94.5" hidden="false" customHeight="true" outlineLevel="0" collapsed="false">
      <c r="A42" s="9" t="s">
        <v>703</v>
      </c>
      <c r="B42" s="10" t="s">
        <v>704</v>
      </c>
      <c r="C42" s="10" t="s">
        <v>690</v>
      </c>
      <c r="D42" s="10" t="s">
        <v>530</v>
      </c>
      <c r="E42" s="10" t="s">
        <v>705</v>
      </c>
      <c r="F42" s="10" t="s">
        <v>706</v>
      </c>
      <c r="G42" s="10" t="s">
        <v>707</v>
      </c>
      <c r="H42" s="10" t="s">
        <v>708</v>
      </c>
      <c r="I42" s="10" t="s">
        <v>709</v>
      </c>
      <c r="J42" s="10" t="s">
        <v>710</v>
      </c>
      <c r="K42" s="10" t="s">
        <v>711</v>
      </c>
      <c r="L42" s="9" t="n">
        <v>3</v>
      </c>
      <c r="M42" s="9" t="n">
        <v>2</v>
      </c>
      <c r="N42" s="9" t="n">
        <v>6</v>
      </c>
      <c r="O42" s="12" t="s">
        <v>83</v>
      </c>
      <c r="P42" s="9" t="n">
        <v>2</v>
      </c>
      <c r="Q42" s="9" t="n">
        <v>2</v>
      </c>
      <c r="R42" s="9" t="n">
        <v>4</v>
      </c>
      <c r="S42" s="16" t="s">
        <v>278</v>
      </c>
      <c r="T42" s="10" t="s">
        <v>260</v>
      </c>
      <c r="U42" s="9" t="s">
        <v>80</v>
      </c>
      <c r="V42" s="10" t="s">
        <v>712</v>
      </c>
      <c r="W42" s="10" t="s">
        <v>713</v>
      </c>
      <c r="X42" s="9" t="n">
        <v>1</v>
      </c>
      <c r="Y42" s="9" t="n">
        <v>2</v>
      </c>
      <c r="Z42" s="9" t="n">
        <v>2</v>
      </c>
      <c r="AA42" s="16" t="s">
        <v>278</v>
      </c>
      <c r="AB42" s="10" t="s">
        <v>714</v>
      </c>
      <c r="AC42" s="9" t="s">
        <v>85</v>
      </c>
      <c r="AD42" s="9" t="s">
        <v>128</v>
      </c>
      <c r="AE42" s="10" t="s">
        <v>715</v>
      </c>
      <c r="AF42" s="9" t="s">
        <v>88</v>
      </c>
      <c r="AG42" s="10" t="s">
        <v>716</v>
      </c>
      <c r="AH42" s="9" t="s">
        <v>170</v>
      </c>
      <c r="AI42" s="9" t="s">
        <v>91</v>
      </c>
      <c r="AJ42" s="10" t="s">
        <v>717</v>
      </c>
    </row>
    <row r="43" customFormat="false" ht="94.5" hidden="false" customHeight="true" outlineLevel="0" collapsed="false">
      <c r="A43" s="13" t="s">
        <v>718</v>
      </c>
      <c r="B43" s="14" t="s">
        <v>719</v>
      </c>
      <c r="C43" s="14" t="s">
        <v>690</v>
      </c>
      <c r="D43" s="14" t="s">
        <v>136</v>
      </c>
      <c r="E43" s="14" t="s">
        <v>720</v>
      </c>
      <c r="F43" s="14" t="s">
        <v>721</v>
      </c>
      <c r="G43" s="14" t="s">
        <v>722</v>
      </c>
      <c r="H43" s="14" t="s">
        <v>723</v>
      </c>
      <c r="I43" s="14" t="s">
        <v>724</v>
      </c>
      <c r="J43" s="14" t="s">
        <v>725</v>
      </c>
      <c r="K43" s="14" t="s">
        <v>726</v>
      </c>
      <c r="L43" s="13" t="n">
        <v>3</v>
      </c>
      <c r="M43" s="13" t="n">
        <v>3</v>
      </c>
      <c r="N43" s="13" t="n">
        <v>9</v>
      </c>
      <c r="O43" s="12" t="s">
        <v>83</v>
      </c>
      <c r="P43" s="13" t="n">
        <v>2</v>
      </c>
      <c r="Q43" s="13" t="n">
        <v>3</v>
      </c>
      <c r="R43" s="13" t="n">
        <v>6</v>
      </c>
      <c r="S43" s="12" t="s">
        <v>83</v>
      </c>
      <c r="T43" s="14" t="s">
        <v>260</v>
      </c>
      <c r="U43" s="13" t="s">
        <v>80</v>
      </c>
      <c r="V43" s="14" t="s">
        <v>727</v>
      </c>
      <c r="W43" s="14" t="s">
        <v>728</v>
      </c>
      <c r="X43" s="13" t="n">
        <v>1</v>
      </c>
      <c r="Y43" s="13" t="n">
        <v>3</v>
      </c>
      <c r="Z43" s="13" t="n">
        <v>3</v>
      </c>
      <c r="AA43" s="16" t="s">
        <v>278</v>
      </c>
      <c r="AB43" s="14" t="s">
        <v>729</v>
      </c>
      <c r="AC43" s="13" t="s">
        <v>167</v>
      </c>
      <c r="AD43" s="13" t="s">
        <v>128</v>
      </c>
      <c r="AE43" s="14" t="s">
        <v>730</v>
      </c>
      <c r="AF43" s="13" t="s">
        <v>88</v>
      </c>
      <c r="AG43" s="14" t="s">
        <v>731</v>
      </c>
      <c r="AH43" s="13" t="s">
        <v>187</v>
      </c>
      <c r="AI43" s="13" t="s">
        <v>91</v>
      </c>
      <c r="AJ43" s="14" t="s">
        <v>732</v>
      </c>
    </row>
    <row r="44" customFormat="false" ht="94.5" hidden="false" customHeight="true" outlineLevel="0" collapsed="false">
      <c r="A44" s="9" t="s">
        <v>733</v>
      </c>
      <c r="B44" s="10" t="s">
        <v>734</v>
      </c>
      <c r="C44" s="10" t="s">
        <v>735</v>
      </c>
      <c r="D44" s="10" t="s">
        <v>136</v>
      </c>
      <c r="E44" s="10" t="s">
        <v>736</v>
      </c>
      <c r="F44" s="10" t="s">
        <v>737</v>
      </c>
      <c r="G44" s="10" t="s">
        <v>738</v>
      </c>
      <c r="H44" s="10" t="s">
        <v>739</v>
      </c>
      <c r="I44" s="10" t="s">
        <v>740</v>
      </c>
      <c r="J44" s="10" t="s">
        <v>741</v>
      </c>
      <c r="K44" s="10" t="s">
        <v>742</v>
      </c>
      <c r="L44" s="9" t="n">
        <v>4</v>
      </c>
      <c r="M44" s="9" t="n">
        <v>4</v>
      </c>
      <c r="N44" s="9" t="n">
        <v>16</v>
      </c>
      <c r="O44" s="11" t="s">
        <v>78</v>
      </c>
      <c r="P44" s="9" t="n">
        <v>3</v>
      </c>
      <c r="Q44" s="9" t="n">
        <v>3</v>
      </c>
      <c r="R44" s="9" t="n">
        <v>9</v>
      </c>
      <c r="S44" s="12" t="s">
        <v>83</v>
      </c>
      <c r="T44" s="10" t="s">
        <v>345</v>
      </c>
      <c r="U44" s="9" t="s">
        <v>80</v>
      </c>
      <c r="V44" s="10" t="s">
        <v>743</v>
      </c>
      <c r="W44" s="10" t="s">
        <v>744</v>
      </c>
      <c r="X44" s="9" t="n">
        <v>2</v>
      </c>
      <c r="Y44" s="9" t="n">
        <v>3</v>
      </c>
      <c r="Z44" s="9" t="n">
        <v>6</v>
      </c>
      <c r="AA44" s="12" t="s">
        <v>83</v>
      </c>
      <c r="AB44" s="10" t="s">
        <v>745</v>
      </c>
      <c r="AC44" s="9" t="s">
        <v>127</v>
      </c>
      <c r="AD44" s="9" t="s">
        <v>108</v>
      </c>
      <c r="AE44" s="10" t="s">
        <v>746</v>
      </c>
      <c r="AF44" s="9" t="s">
        <v>88</v>
      </c>
      <c r="AG44" s="10" t="s">
        <v>747</v>
      </c>
      <c r="AH44" s="9" t="s">
        <v>187</v>
      </c>
      <c r="AI44" s="9" t="s">
        <v>91</v>
      </c>
      <c r="AJ44" s="10" t="s">
        <v>748</v>
      </c>
    </row>
    <row r="45" customFormat="false" ht="94.5" hidden="false" customHeight="true" outlineLevel="0" collapsed="false">
      <c r="A45" s="13" t="s">
        <v>749</v>
      </c>
      <c r="B45" s="14" t="s">
        <v>750</v>
      </c>
      <c r="C45" s="14" t="s">
        <v>735</v>
      </c>
      <c r="D45" s="14" t="s">
        <v>70</v>
      </c>
      <c r="E45" s="14" t="s">
        <v>751</v>
      </c>
      <c r="F45" s="14" t="s">
        <v>752</v>
      </c>
      <c r="G45" s="14" t="s">
        <v>753</v>
      </c>
      <c r="H45" s="14" t="s">
        <v>754</v>
      </c>
      <c r="I45" s="14" t="s">
        <v>755</v>
      </c>
      <c r="J45" s="14" t="s">
        <v>756</v>
      </c>
      <c r="K45" s="14" t="s">
        <v>757</v>
      </c>
      <c r="L45" s="13" t="n">
        <v>4</v>
      </c>
      <c r="M45" s="13" t="n">
        <v>5</v>
      </c>
      <c r="N45" s="13" t="n">
        <v>20</v>
      </c>
      <c r="O45" s="11" t="s">
        <v>78</v>
      </c>
      <c r="P45" s="13" t="n">
        <v>3</v>
      </c>
      <c r="Q45" s="13" t="n">
        <v>4</v>
      </c>
      <c r="R45" s="13" t="n">
        <v>12</v>
      </c>
      <c r="S45" s="15" t="s">
        <v>144</v>
      </c>
      <c r="T45" s="14" t="s">
        <v>145</v>
      </c>
      <c r="U45" s="13" t="s">
        <v>80</v>
      </c>
      <c r="V45" s="14" t="s">
        <v>758</v>
      </c>
      <c r="W45" s="14" t="s">
        <v>759</v>
      </c>
      <c r="X45" s="13" t="n">
        <v>2</v>
      </c>
      <c r="Y45" s="13" t="n">
        <v>3</v>
      </c>
      <c r="Z45" s="13" t="n">
        <v>6</v>
      </c>
      <c r="AA45" s="12" t="s">
        <v>83</v>
      </c>
      <c r="AB45" s="14" t="s">
        <v>760</v>
      </c>
      <c r="AC45" s="13" t="s">
        <v>107</v>
      </c>
      <c r="AD45" s="13" t="s">
        <v>108</v>
      </c>
      <c r="AE45" s="14" t="s">
        <v>761</v>
      </c>
      <c r="AF45" s="13" t="s">
        <v>88</v>
      </c>
      <c r="AG45" s="14" t="s">
        <v>762</v>
      </c>
      <c r="AH45" s="13" t="s">
        <v>90</v>
      </c>
      <c r="AI45" s="13" t="s">
        <v>91</v>
      </c>
      <c r="AJ45" s="14" t="s">
        <v>763</v>
      </c>
    </row>
    <row r="46" customFormat="false" ht="94.5" hidden="false" customHeight="true" outlineLevel="0" collapsed="false">
      <c r="A46" s="9" t="s">
        <v>764</v>
      </c>
      <c r="B46" s="10" t="s">
        <v>765</v>
      </c>
      <c r="C46" s="10" t="s">
        <v>735</v>
      </c>
      <c r="D46" s="10" t="s">
        <v>223</v>
      </c>
      <c r="E46" s="10" t="s">
        <v>766</v>
      </c>
      <c r="F46" s="10" t="s">
        <v>767</v>
      </c>
      <c r="G46" s="10" t="s">
        <v>768</v>
      </c>
      <c r="H46" s="10" t="s">
        <v>769</v>
      </c>
      <c r="I46" s="10" t="s">
        <v>770</v>
      </c>
      <c r="J46" s="10" t="s">
        <v>771</v>
      </c>
      <c r="K46" s="10" t="s">
        <v>772</v>
      </c>
      <c r="L46" s="9" t="n">
        <v>4</v>
      </c>
      <c r="M46" s="9" t="n">
        <v>3</v>
      </c>
      <c r="N46" s="9" t="n">
        <v>12</v>
      </c>
      <c r="O46" s="15" t="s">
        <v>144</v>
      </c>
      <c r="P46" s="9" t="n">
        <v>3</v>
      </c>
      <c r="Q46" s="9" t="n">
        <v>3</v>
      </c>
      <c r="R46" s="9" t="n">
        <v>9</v>
      </c>
      <c r="S46" s="12" t="s">
        <v>83</v>
      </c>
      <c r="T46" s="10" t="s">
        <v>79</v>
      </c>
      <c r="U46" s="9" t="s">
        <v>80</v>
      </c>
      <c r="V46" s="10" t="s">
        <v>773</v>
      </c>
      <c r="W46" s="10" t="s">
        <v>774</v>
      </c>
      <c r="X46" s="9" t="n">
        <v>2</v>
      </c>
      <c r="Y46" s="9" t="n">
        <v>3</v>
      </c>
      <c r="Z46" s="9" t="n">
        <v>6</v>
      </c>
      <c r="AA46" s="12" t="s">
        <v>83</v>
      </c>
      <c r="AB46" s="10" t="s">
        <v>775</v>
      </c>
      <c r="AC46" s="9" t="s">
        <v>85</v>
      </c>
      <c r="AD46" s="9" t="s">
        <v>128</v>
      </c>
      <c r="AE46" s="10" t="s">
        <v>776</v>
      </c>
      <c r="AF46" s="9" t="s">
        <v>88</v>
      </c>
      <c r="AG46" s="10" t="s">
        <v>777</v>
      </c>
      <c r="AH46" s="9" t="s">
        <v>111</v>
      </c>
      <c r="AI46" s="9" t="s">
        <v>91</v>
      </c>
      <c r="AJ46" s="10" t="s">
        <v>778</v>
      </c>
    </row>
    <row r="47" customFormat="false" ht="94.5" hidden="false" customHeight="true" outlineLevel="0" collapsed="false">
      <c r="A47" s="13" t="s">
        <v>779</v>
      </c>
      <c r="B47" s="14" t="s">
        <v>780</v>
      </c>
      <c r="C47" s="14" t="s">
        <v>781</v>
      </c>
      <c r="D47" s="14" t="s">
        <v>115</v>
      </c>
      <c r="E47" s="14" t="s">
        <v>782</v>
      </c>
      <c r="F47" s="14" t="s">
        <v>783</v>
      </c>
      <c r="G47" s="14" t="s">
        <v>784</v>
      </c>
      <c r="H47" s="14" t="s">
        <v>785</v>
      </c>
      <c r="I47" s="14" t="s">
        <v>786</v>
      </c>
      <c r="J47" s="14" t="s">
        <v>787</v>
      </c>
      <c r="K47" s="14" t="s">
        <v>788</v>
      </c>
      <c r="L47" s="13" t="n">
        <v>3</v>
      </c>
      <c r="M47" s="13" t="n">
        <v>5</v>
      </c>
      <c r="N47" s="13" t="n">
        <v>15</v>
      </c>
      <c r="O47" s="11" t="s">
        <v>78</v>
      </c>
      <c r="P47" s="13" t="n">
        <v>2</v>
      </c>
      <c r="Q47" s="13" t="n">
        <v>4</v>
      </c>
      <c r="R47" s="13" t="n">
        <v>8</v>
      </c>
      <c r="S47" s="12" t="s">
        <v>83</v>
      </c>
      <c r="T47" s="14" t="s">
        <v>789</v>
      </c>
      <c r="U47" s="13" t="s">
        <v>80</v>
      </c>
      <c r="V47" s="14" t="s">
        <v>790</v>
      </c>
      <c r="W47" s="14" t="s">
        <v>791</v>
      </c>
      <c r="X47" s="13" t="n">
        <v>2</v>
      </c>
      <c r="Y47" s="13" t="n">
        <v>4</v>
      </c>
      <c r="Z47" s="13" t="n">
        <v>8</v>
      </c>
      <c r="AA47" s="12" t="s">
        <v>83</v>
      </c>
      <c r="AB47" s="14" t="s">
        <v>792</v>
      </c>
      <c r="AC47" s="13" t="s">
        <v>399</v>
      </c>
      <c r="AD47" s="13" t="s">
        <v>216</v>
      </c>
      <c r="AE47" s="14" t="s">
        <v>793</v>
      </c>
      <c r="AF47" s="13" t="s">
        <v>130</v>
      </c>
      <c r="AG47" s="14" t="s">
        <v>794</v>
      </c>
      <c r="AH47" s="13" t="s">
        <v>132</v>
      </c>
      <c r="AI47" s="13" t="s">
        <v>91</v>
      </c>
      <c r="AJ47" s="14" t="s">
        <v>795</v>
      </c>
    </row>
    <row r="48" customFormat="false" ht="94.5" hidden="false" customHeight="true" outlineLevel="0" collapsed="false">
      <c r="A48" s="9" t="s">
        <v>796</v>
      </c>
      <c r="B48" s="10" t="s">
        <v>797</v>
      </c>
      <c r="C48" s="10" t="s">
        <v>781</v>
      </c>
      <c r="D48" s="10" t="s">
        <v>115</v>
      </c>
      <c r="E48" s="10" t="s">
        <v>798</v>
      </c>
      <c r="F48" s="10" t="s">
        <v>799</v>
      </c>
      <c r="G48" s="10" t="s">
        <v>800</v>
      </c>
      <c r="H48" s="10" t="s">
        <v>801</v>
      </c>
      <c r="I48" s="10" t="s">
        <v>802</v>
      </c>
      <c r="J48" s="10" t="s">
        <v>803</v>
      </c>
      <c r="K48" s="10" t="s">
        <v>804</v>
      </c>
      <c r="L48" s="9" t="n">
        <v>2</v>
      </c>
      <c r="M48" s="9" t="n">
        <v>4</v>
      </c>
      <c r="N48" s="9" t="n">
        <v>8</v>
      </c>
      <c r="O48" s="12" t="s">
        <v>83</v>
      </c>
      <c r="P48" s="9" t="n">
        <v>2</v>
      </c>
      <c r="Q48" s="9" t="n">
        <v>3</v>
      </c>
      <c r="R48" s="9" t="n">
        <v>6</v>
      </c>
      <c r="S48" s="12" t="s">
        <v>83</v>
      </c>
      <c r="T48" s="10" t="s">
        <v>789</v>
      </c>
      <c r="U48" s="9" t="s">
        <v>80</v>
      </c>
      <c r="V48" s="10" t="s">
        <v>805</v>
      </c>
      <c r="W48" s="10" t="s">
        <v>806</v>
      </c>
      <c r="X48" s="9" t="n">
        <v>1</v>
      </c>
      <c r="Y48" s="9" t="n">
        <v>3</v>
      </c>
      <c r="Z48" s="9" t="n">
        <v>3</v>
      </c>
      <c r="AA48" s="16" t="s">
        <v>278</v>
      </c>
      <c r="AB48" s="10" t="s">
        <v>807</v>
      </c>
      <c r="AC48" s="9" t="s">
        <v>85</v>
      </c>
      <c r="AD48" s="9" t="s">
        <v>216</v>
      </c>
      <c r="AE48" s="10" t="s">
        <v>808</v>
      </c>
      <c r="AF48" s="9" t="s">
        <v>130</v>
      </c>
      <c r="AG48" s="10" t="s">
        <v>809</v>
      </c>
      <c r="AH48" s="9" t="s">
        <v>810</v>
      </c>
      <c r="AI48" s="9" t="s">
        <v>91</v>
      </c>
      <c r="AJ48" s="10" t="s">
        <v>811</v>
      </c>
    </row>
  </sheetData>
  <mergeCells count="1">
    <mergeCell ref="A1:A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7" min="3" style="0" width="14"/>
  </cols>
  <sheetData>
    <row r="1" customFormat="false" ht="27.75" hidden="false" customHeight="true" outlineLevel="0" collapsed="false">
      <c r="A1" s="7" t="s">
        <v>812</v>
      </c>
      <c r="B1" s="7"/>
      <c r="C1" s="7"/>
      <c r="D1" s="7"/>
      <c r="E1" s="7"/>
      <c r="F1" s="7"/>
      <c r="G1" s="7"/>
      <c r="H1" s="7"/>
    </row>
    <row r="2" customFormat="false" ht="15" hidden="false" customHeight="true" outlineLevel="0" collapsed="false">
      <c r="A2" s="17" t="s">
        <v>813</v>
      </c>
      <c r="B2" s="17"/>
      <c r="C2" s="17"/>
      <c r="D2" s="17"/>
      <c r="E2" s="17"/>
      <c r="F2" s="17"/>
      <c r="G2" s="17"/>
      <c r="H2" s="17"/>
    </row>
    <row r="4" customFormat="false" ht="49.5" hidden="false" customHeight="true" outlineLevel="0" collapsed="false">
      <c r="A4" s="18" t="s">
        <v>814</v>
      </c>
      <c r="B4" s="19" t="s">
        <v>815</v>
      </c>
      <c r="C4" s="20" t="n">
        <v>5</v>
      </c>
      <c r="D4" s="21" t="n">
        <v>10</v>
      </c>
      <c r="E4" s="22" t="n">
        <v>15</v>
      </c>
      <c r="F4" s="22" t="n">
        <v>20</v>
      </c>
      <c r="G4" s="22" t="n">
        <v>25</v>
      </c>
    </row>
    <row r="5" customFormat="false" ht="49.5" hidden="false" customHeight="true" outlineLevel="0" collapsed="false">
      <c r="A5" s="18"/>
      <c r="B5" s="19" t="s">
        <v>816</v>
      </c>
      <c r="C5" s="23" t="n">
        <v>4</v>
      </c>
      <c r="D5" s="20" t="n">
        <v>8</v>
      </c>
      <c r="E5" s="21" t="n">
        <v>12</v>
      </c>
      <c r="F5" s="22" t="n">
        <v>16</v>
      </c>
      <c r="G5" s="22" t="n">
        <v>20</v>
      </c>
    </row>
    <row r="6" customFormat="false" ht="49.5" hidden="false" customHeight="true" outlineLevel="0" collapsed="false">
      <c r="A6" s="18"/>
      <c r="B6" s="19" t="s">
        <v>817</v>
      </c>
      <c r="C6" s="23" t="n">
        <v>3</v>
      </c>
      <c r="D6" s="20" t="n">
        <v>6</v>
      </c>
      <c r="E6" s="20" t="n">
        <v>9</v>
      </c>
      <c r="F6" s="21" t="n">
        <v>12</v>
      </c>
      <c r="G6" s="22" t="n">
        <v>15</v>
      </c>
    </row>
    <row r="7" customFormat="false" ht="49.5" hidden="false" customHeight="true" outlineLevel="0" collapsed="false">
      <c r="A7" s="18"/>
      <c r="B7" s="19" t="s">
        <v>818</v>
      </c>
      <c r="C7" s="23" t="n">
        <v>2</v>
      </c>
      <c r="D7" s="23" t="n">
        <v>4</v>
      </c>
      <c r="E7" s="20" t="n">
        <v>6</v>
      </c>
      <c r="F7" s="20" t="n">
        <v>8</v>
      </c>
      <c r="G7" s="21" t="n">
        <v>10</v>
      </c>
    </row>
    <row r="8" customFormat="false" ht="49.5" hidden="false" customHeight="true" outlineLevel="0" collapsed="false">
      <c r="A8" s="18"/>
      <c r="B8" s="19" t="s">
        <v>819</v>
      </c>
      <c r="C8" s="23" t="n">
        <v>1</v>
      </c>
      <c r="D8" s="23" t="n">
        <v>2</v>
      </c>
      <c r="E8" s="23" t="n">
        <v>3</v>
      </c>
      <c r="F8" s="23" t="n">
        <v>4</v>
      </c>
      <c r="G8" s="20" t="n">
        <v>5</v>
      </c>
    </row>
    <row r="9" customFormat="false" ht="34.5" hidden="false" customHeight="true" outlineLevel="0" collapsed="false">
      <c r="A9" s="18"/>
      <c r="C9" s="19" t="s">
        <v>820</v>
      </c>
      <c r="D9" s="19" t="s">
        <v>821</v>
      </c>
      <c r="E9" s="19" t="s">
        <v>822</v>
      </c>
      <c r="F9" s="19" t="s">
        <v>823</v>
      </c>
      <c r="G9" s="19" t="s">
        <v>824</v>
      </c>
    </row>
    <row r="10" customFormat="false" ht="15" hidden="false" customHeight="true" outlineLevel="0" collapsed="false">
      <c r="C10" s="18" t="s">
        <v>825</v>
      </c>
      <c r="D10" s="18"/>
      <c r="E10" s="18"/>
      <c r="F10" s="18"/>
      <c r="G10" s="18"/>
    </row>
    <row r="13" customFormat="false" ht="15" hidden="false" customHeight="false" outlineLevel="0" collapsed="false">
      <c r="B13" s="24" t="s">
        <v>826</v>
      </c>
    </row>
    <row r="14" customFormat="false" ht="30" hidden="false" customHeight="true" outlineLevel="0" collapsed="false">
      <c r="B14" s="25" t="s">
        <v>827</v>
      </c>
      <c r="C14" s="5" t="s">
        <v>828</v>
      </c>
      <c r="D14" s="5"/>
      <c r="E14" s="5"/>
      <c r="F14" s="5"/>
      <c r="G14" s="5"/>
      <c r="H14" s="5"/>
    </row>
    <row r="15" customFormat="false" ht="30" hidden="false" customHeight="true" outlineLevel="0" collapsed="false">
      <c r="B15" s="26" t="s">
        <v>829</v>
      </c>
      <c r="C15" s="5" t="s">
        <v>830</v>
      </c>
      <c r="D15" s="5"/>
      <c r="E15" s="5"/>
      <c r="F15" s="5"/>
      <c r="G15" s="5"/>
      <c r="H15" s="5"/>
    </row>
    <row r="16" customFormat="false" ht="30" hidden="false" customHeight="true" outlineLevel="0" collapsed="false">
      <c r="B16" s="27" t="s">
        <v>831</v>
      </c>
      <c r="C16" s="5" t="s">
        <v>832</v>
      </c>
      <c r="D16" s="5"/>
      <c r="E16" s="5"/>
      <c r="F16" s="5"/>
      <c r="G16" s="5"/>
      <c r="H16" s="5"/>
    </row>
    <row r="17" customFormat="false" ht="30" hidden="false" customHeight="true" outlineLevel="0" collapsed="false">
      <c r="B17" s="28" t="s">
        <v>833</v>
      </c>
      <c r="C17" s="5" t="s">
        <v>834</v>
      </c>
      <c r="D17" s="5"/>
      <c r="E17" s="5"/>
      <c r="F17" s="5"/>
      <c r="G17" s="5"/>
      <c r="H17" s="5"/>
    </row>
  </sheetData>
  <mergeCells count="8">
    <mergeCell ref="A1:H1"/>
    <mergeCell ref="A2:H2"/>
    <mergeCell ref="A4:A9"/>
    <mergeCell ref="C10:G10"/>
    <mergeCell ref="C14:H14"/>
    <mergeCell ref="C15:H15"/>
    <mergeCell ref="C16:H16"/>
    <mergeCell ref="C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8"/>
  </cols>
  <sheetData>
    <row r="1" customFormat="false" ht="27.75" hidden="false" customHeight="true" outlineLevel="0" collapsed="false">
      <c r="A1" s="7" t="s">
        <v>835</v>
      </c>
      <c r="B1" s="7"/>
      <c r="C1" s="7"/>
      <c r="D1" s="7"/>
      <c r="E1" s="7"/>
      <c r="F1" s="7"/>
      <c r="G1" s="7"/>
      <c r="H1" s="7"/>
    </row>
    <row r="3" customFormat="false" ht="15" hidden="false" customHeight="true" outlineLevel="0" collapsed="false">
      <c r="A3" s="1" t="s">
        <v>836</v>
      </c>
      <c r="B3" s="1"/>
      <c r="C3" s="1"/>
      <c r="D3" s="1"/>
      <c r="F3" s="1" t="s">
        <v>837</v>
      </c>
      <c r="G3" s="1"/>
      <c r="H3" s="1"/>
    </row>
    <row r="4" customFormat="false" ht="15" hidden="false" customHeight="false" outlineLevel="0" collapsed="false">
      <c r="A4" s="29" t="s">
        <v>838</v>
      </c>
      <c r="B4" s="29" t="s">
        <v>839</v>
      </c>
      <c r="C4" s="29" t="s">
        <v>840</v>
      </c>
      <c r="D4" s="29" t="s">
        <v>841</v>
      </c>
      <c r="F4" s="29" t="s">
        <v>842</v>
      </c>
      <c r="G4" s="29" t="s">
        <v>839</v>
      </c>
      <c r="H4" s="29" t="s">
        <v>840</v>
      </c>
    </row>
    <row r="5" customFormat="false" ht="15" hidden="false" customHeight="false" outlineLevel="0" collapsed="false">
      <c r="A5" s="30" t="s">
        <v>78</v>
      </c>
      <c r="B5" s="9" t="n">
        <f aca="false">COUNTIF('Risk Register'!S:S,"CRITICAL")</f>
        <v>2</v>
      </c>
      <c r="C5" s="31" t="n">
        <f aca="false">B5/SUM($B$5:$B$8)</f>
        <v>0.0444444444444444</v>
      </c>
      <c r="D5" s="32" t="s">
        <v>843</v>
      </c>
      <c r="F5" s="5" t="s">
        <v>69</v>
      </c>
      <c r="G5" s="9" t="n">
        <f aca="false">COUNTIF('Risk Register'!C:C,"External Attack")</f>
        <v>8</v>
      </c>
      <c r="H5" s="31" t="n">
        <f aca="false">G5/SUM($G$5:$G$14)</f>
        <v>0.0987654320987654</v>
      </c>
    </row>
    <row r="6" customFormat="false" ht="15" hidden="false" customHeight="false" outlineLevel="0" collapsed="false">
      <c r="A6" s="30" t="s">
        <v>144</v>
      </c>
      <c r="B6" s="9" t="n">
        <f aca="false">COUNTIF('Risk Register'!S:S,"HIGH")</f>
        <v>5</v>
      </c>
      <c r="C6" s="31" t="n">
        <f aca="false">B6/SUM($B$5:$B$8)</f>
        <v>0.111111111111111</v>
      </c>
      <c r="D6" s="33" t="s">
        <v>843</v>
      </c>
      <c r="F6" s="5" t="s">
        <v>222</v>
      </c>
      <c r="G6" s="9" t="n">
        <f aca="false">COUNTIF('Risk Register'!C:C,"Insider Threat")</f>
        <v>5</v>
      </c>
      <c r="H6" s="31" t="n">
        <f aca="false">G6/SUM($G$5:$G$14)</f>
        <v>0.0617283950617284</v>
      </c>
    </row>
    <row r="7" customFormat="false" ht="15" hidden="false" customHeight="false" outlineLevel="0" collapsed="false">
      <c r="A7" s="30" t="s">
        <v>83</v>
      </c>
      <c r="B7" s="9" t="n">
        <f aca="false">COUNTIF('Risk Register'!S:S,"MEDIUM")</f>
        <v>35</v>
      </c>
      <c r="C7" s="31" t="n">
        <f aca="false">B7/SUM($B$5:$B$8)</f>
        <v>0.777777777777778</v>
      </c>
      <c r="D7" s="34" t="s">
        <v>843</v>
      </c>
      <c r="F7" s="5" t="s">
        <v>305</v>
      </c>
      <c r="G7" s="9" t="n">
        <f aca="false">COUNTIF('Risk Register'!C:C,"Third-Party Risk")</f>
        <v>5</v>
      </c>
      <c r="H7" s="31" t="n">
        <f aca="false">G7/SUM($G$5:$G$14)</f>
        <v>0.0617283950617284</v>
      </c>
    </row>
    <row r="8" customFormat="false" ht="15" hidden="false" customHeight="false" outlineLevel="0" collapsed="false">
      <c r="A8" s="30" t="s">
        <v>278</v>
      </c>
      <c r="B8" s="9" t="n">
        <f aca="false">COUNTIF('Risk Register'!S:S,"LOW")</f>
        <v>3</v>
      </c>
      <c r="C8" s="31" t="n">
        <f aca="false">B8/SUM($B$5:$B$8)</f>
        <v>0.0666666666666667</v>
      </c>
      <c r="D8" s="35" t="s">
        <v>843</v>
      </c>
      <c r="F8" s="5" t="s">
        <v>387</v>
      </c>
      <c r="G8" s="9" t="n">
        <f aca="false">COUNTIF('Risk Register'!C:C,"Compliance Risk")</f>
        <v>5</v>
      </c>
      <c r="H8" s="31" t="n">
        <f aca="false">G8/SUM($G$5:$G$14)</f>
        <v>0.0617283950617284</v>
      </c>
    </row>
    <row r="9" customFormat="false" ht="15" hidden="false" customHeight="false" outlineLevel="0" collapsed="false">
      <c r="A9" s="36" t="s">
        <v>844</v>
      </c>
      <c r="B9" s="36" t="n">
        <f aca="false">SUM(B5:B8)</f>
        <v>45</v>
      </c>
      <c r="C9" s="36" t="s">
        <v>845</v>
      </c>
      <c r="D9" s="37"/>
      <c r="F9" s="5" t="s">
        <v>467</v>
      </c>
      <c r="G9" s="9" t="n">
        <f aca="false">COUNTIF('Risk Register'!C:C,"Operational Risk")</f>
        <v>5</v>
      </c>
      <c r="H9" s="31" t="n">
        <f aca="false">G9/SUM($G$5:$G$14)</f>
        <v>0.0617283950617284</v>
      </c>
    </row>
    <row r="10" customFormat="false" ht="15" hidden="false" customHeight="false" outlineLevel="0" collapsed="false">
      <c r="F10" s="5" t="s">
        <v>546</v>
      </c>
      <c r="G10" s="9" t="n">
        <f aca="false">COUNTIF('Risk Register'!C:C,"Emerging / AI Risk")</f>
        <v>6</v>
      </c>
      <c r="H10" s="31" t="n">
        <f aca="false">G10/SUM($G$5:$G$14)</f>
        <v>0.0740740740740741</v>
      </c>
    </row>
    <row r="11" customFormat="false" ht="15" hidden="false" customHeight="false" outlineLevel="0" collapsed="false">
      <c r="F11" s="5" t="s">
        <v>641</v>
      </c>
      <c r="G11" s="9" t="n">
        <f aca="false">COUNTIF('Risk Register'!C:C,"Physical Risk")</f>
        <v>3</v>
      </c>
      <c r="H11" s="31" t="n">
        <f aca="false">G11/SUM($G$5:$G$14)</f>
        <v>0.037037037037037</v>
      </c>
    </row>
    <row r="12" customFormat="false" ht="15" hidden="false" customHeight="true" outlineLevel="0" collapsed="false">
      <c r="A12" s="1" t="s">
        <v>846</v>
      </c>
      <c r="B12" s="1"/>
      <c r="C12" s="1"/>
      <c r="D12" s="1"/>
      <c r="F12" s="38" t="s">
        <v>847</v>
      </c>
      <c r="G12" s="38"/>
      <c r="H12" s="38"/>
    </row>
    <row r="13" customFormat="false" ht="15" hidden="false" customHeight="false" outlineLevel="0" collapsed="false">
      <c r="A13" s="29" t="s">
        <v>848</v>
      </c>
      <c r="B13" s="29" t="s">
        <v>839</v>
      </c>
      <c r="C13" s="29" t="s">
        <v>840</v>
      </c>
      <c r="F13" s="29" t="s">
        <v>849</v>
      </c>
      <c r="G13" s="29" t="s">
        <v>839</v>
      </c>
      <c r="H13" s="39" t="s">
        <v>840</v>
      </c>
    </row>
    <row r="14" customFormat="false" ht="15" hidden="false" customHeight="false" outlineLevel="0" collapsed="false">
      <c r="A14" s="5" t="s">
        <v>300</v>
      </c>
      <c r="B14" s="9" t="n">
        <f aca="false">COUNTIF('Risk Register'!AF:AF,"Planned")</f>
        <v>3</v>
      </c>
      <c r="C14" s="31" t="n">
        <f aca="false">B14/SUM($B$14:$B$17)</f>
        <v>0.0666666666666667</v>
      </c>
      <c r="F14" s="5" t="s">
        <v>80</v>
      </c>
      <c r="G14" s="9" t="n">
        <f aca="false">COUNTIF('Risk Register'!U:U,"MODIFY")</f>
        <v>44</v>
      </c>
      <c r="H14" s="31" t="n">
        <f aca="false">G14/SUM($G$14:$G$18)</f>
        <v>0.977777777777778</v>
      </c>
    </row>
    <row r="15" customFormat="false" ht="23.85" hidden="false" customHeight="false" outlineLevel="0" collapsed="false">
      <c r="A15" s="5" t="s">
        <v>88</v>
      </c>
      <c r="B15" s="9" t="n">
        <f aca="false">COUNTIF('Risk Register'!AF:AF,"In Progress")</f>
        <v>31</v>
      </c>
      <c r="C15" s="31" t="n">
        <f aca="false">B15/SUM($B$14:$B$17)</f>
        <v>0.688888888888889</v>
      </c>
      <c r="F15" s="40" t="s">
        <v>314</v>
      </c>
      <c r="G15" s="41" t="n">
        <f aca="false">COUNTIF('Risk Register'!U:U,"MODIFY + TRANSFER")</f>
        <v>1</v>
      </c>
      <c r="H15" s="42" t="n">
        <f aca="false">G15/SUM($G$14:$G$18)</f>
        <v>0.0222222222222222</v>
      </c>
    </row>
    <row r="16" customFormat="false" ht="15" hidden="false" customHeight="false" outlineLevel="0" collapsed="false">
      <c r="A16" s="5" t="s">
        <v>130</v>
      </c>
      <c r="B16" s="9" t="n">
        <f aca="false">COUNTIF('Risk Register'!AF:AF,"Implemented")</f>
        <v>11</v>
      </c>
      <c r="C16" s="31" t="n">
        <f aca="false">B16/SUM($B$14:$B$17)</f>
        <v>0.244444444444444</v>
      </c>
      <c r="F16" s="5" t="s">
        <v>850</v>
      </c>
      <c r="G16" s="9" t="n">
        <f aca="false">COUNTIF('Risk Register'!U:U,"AVOID")</f>
        <v>0</v>
      </c>
      <c r="H16" s="31" t="n">
        <f aca="false">G16/SUM($G$14:$G$18)</f>
        <v>0</v>
      </c>
    </row>
    <row r="17" customFormat="false" ht="15" hidden="false" customHeight="false" outlineLevel="0" collapsed="false">
      <c r="A17" s="5" t="s">
        <v>851</v>
      </c>
      <c r="B17" s="9" t="n">
        <f aca="false">COUNTIF('Risk Register'!AF:AF,"Validated")</f>
        <v>0</v>
      </c>
      <c r="C17" s="31" t="n">
        <f aca="false">B17/SUM($B$14:$B$17)</f>
        <v>0</v>
      </c>
      <c r="F17" s="5" t="s">
        <v>852</v>
      </c>
      <c r="G17" s="9" t="n">
        <f aca="false">COUNTIF('Risk Register'!U:U,"TRANSFER")</f>
        <v>0</v>
      </c>
      <c r="H17" s="31" t="n">
        <f aca="false">G17/SUM($G$14:$G$18)</f>
        <v>0</v>
      </c>
    </row>
    <row r="18" customFormat="false" ht="15" hidden="false" customHeight="false" outlineLevel="0" collapsed="false">
      <c r="F18" s="5" t="s">
        <v>853</v>
      </c>
      <c r="G18" s="9" t="n">
        <f aca="false">COUNTIF('Risk Register'!U:U,"ACCEPT")</f>
        <v>0</v>
      </c>
      <c r="H18" s="31" t="n">
        <f aca="false">G18/SUM($G$14:$G$18)</f>
        <v>0</v>
      </c>
    </row>
    <row r="22" customFormat="false" ht="15" hidden="false" customHeight="true" outlineLevel="0" collapsed="false">
      <c r="A22" s="1" t="s">
        <v>854</v>
      </c>
      <c r="B22" s="1"/>
      <c r="C22" s="1"/>
      <c r="D22" s="1"/>
      <c r="E22" s="1"/>
      <c r="F22" s="1"/>
      <c r="G22" s="1"/>
      <c r="H22" s="1"/>
    </row>
    <row r="23" customFormat="false" ht="15" hidden="false" customHeight="false" outlineLevel="0" collapsed="false">
      <c r="A23" s="29" t="s">
        <v>855</v>
      </c>
      <c r="B23" s="29" t="s">
        <v>78</v>
      </c>
      <c r="C23" s="29" t="s">
        <v>144</v>
      </c>
      <c r="D23" s="29" t="s">
        <v>83</v>
      </c>
      <c r="E23" s="29" t="s">
        <v>278</v>
      </c>
      <c r="F23" s="29" t="s">
        <v>856</v>
      </c>
    </row>
    <row r="24" customFormat="false" ht="15" hidden="false" customHeight="false" outlineLevel="0" collapsed="false">
      <c r="A24" s="4" t="s">
        <v>857</v>
      </c>
      <c r="B24" s="9" t="n">
        <f aca="false">COUNTIF('Risk Register'!O:O,"CRITICAL")</f>
        <v>15</v>
      </c>
      <c r="C24" s="9" t="n">
        <f aca="false">COUNTIF('Risk Register'!O:O,"HIGH")</f>
        <v>17</v>
      </c>
      <c r="D24" s="9" t="n">
        <f aca="false">COUNTIF('Risk Register'!O:O,"MEDIUM")</f>
        <v>13</v>
      </c>
      <c r="E24" s="9" t="n">
        <f aca="false">COUNTIF('Risk Register'!O:O,"LOW")</f>
        <v>0</v>
      </c>
      <c r="F24" s="9" t="n">
        <f aca="false">SUM(B24:E24)</f>
        <v>45</v>
      </c>
    </row>
    <row r="25" customFormat="false" ht="23.85" hidden="false" customHeight="false" outlineLevel="0" collapsed="false">
      <c r="A25" s="4" t="s">
        <v>858</v>
      </c>
      <c r="B25" s="9" t="n">
        <f aca="false">COUNTIF('Risk Register'!S:S,"CRITICAL")</f>
        <v>2</v>
      </c>
      <c r="C25" s="9" t="n">
        <f aca="false">COUNTIF('Risk Register'!S:S,"HIGH")</f>
        <v>5</v>
      </c>
      <c r="D25" s="9" t="n">
        <f aca="false">COUNTIF('Risk Register'!S:S,"MEDIUM")</f>
        <v>35</v>
      </c>
      <c r="E25" s="9" t="n">
        <f aca="false">COUNTIF('Risk Register'!S:S,"LOW")</f>
        <v>3</v>
      </c>
      <c r="F25" s="9" t="n">
        <f aca="false">SUM(B25:E25)</f>
        <v>45</v>
      </c>
    </row>
    <row r="26" customFormat="false" ht="23.85" hidden="false" customHeight="false" outlineLevel="0" collapsed="false">
      <c r="A26" s="4" t="s">
        <v>859</v>
      </c>
      <c r="B26" s="9" t="n">
        <f aca="false">COUNTIF('Risk Register'!AA:AA,"CRITICAL")</f>
        <v>0</v>
      </c>
      <c r="C26" s="9" t="n">
        <f aca="false">COUNTIF('Risk Register'!AA:AA,"HIGH")</f>
        <v>0</v>
      </c>
      <c r="D26" s="9" t="n">
        <f aca="false">COUNTIF('Risk Register'!AA:AA,"MEDIUM")</f>
        <v>23</v>
      </c>
      <c r="E26" s="9" t="n">
        <f aca="false">COUNTIF('Risk Register'!AA:AA,"LOW")</f>
        <v>22</v>
      </c>
      <c r="F26" s="9" t="n">
        <f aca="false">SUM(B26:E26)</f>
        <v>45</v>
      </c>
    </row>
  </sheetData>
  <mergeCells count="6">
    <mergeCell ref="A1:H1"/>
    <mergeCell ref="A3:D3"/>
    <mergeCell ref="F3:H3"/>
    <mergeCell ref="A12:D12"/>
    <mergeCell ref="F12:H12"/>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70"/>
  </cols>
  <sheetData>
    <row r="1" customFormat="false" ht="27.75" hidden="false" customHeight="true" outlineLevel="0" collapsed="false">
      <c r="A1" s="7" t="s">
        <v>860</v>
      </c>
      <c r="B1" s="7"/>
      <c r="C1" s="7"/>
    </row>
    <row r="3" customFormat="false" ht="15" hidden="false" customHeight="true" outlineLevel="0" collapsed="false">
      <c r="A3" s="1" t="s">
        <v>861</v>
      </c>
      <c r="B3" s="1"/>
      <c r="C3" s="1"/>
    </row>
    <row r="4" customFormat="false" ht="15" hidden="false" customHeight="false" outlineLevel="0" collapsed="false">
      <c r="A4" s="29" t="s">
        <v>862</v>
      </c>
      <c r="B4" s="29" t="s">
        <v>863</v>
      </c>
      <c r="C4" s="29" t="s">
        <v>864</v>
      </c>
    </row>
    <row r="5" customFormat="false" ht="30" hidden="false" customHeight="true" outlineLevel="0" collapsed="false">
      <c r="A5" s="4" t="s">
        <v>31</v>
      </c>
      <c r="B5" s="9" t="s">
        <v>865</v>
      </c>
      <c r="C5" s="5" t="s">
        <v>866</v>
      </c>
    </row>
    <row r="6" customFormat="false" ht="30" hidden="false" customHeight="true" outlineLevel="0" collapsed="false">
      <c r="A6" s="4" t="s">
        <v>32</v>
      </c>
      <c r="B6" s="13" t="s">
        <v>865</v>
      </c>
      <c r="C6" s="43" t="s">
        <v>867</v>
      </c>
    </row>
    <row r="7" customFormat="false" ht="30" hidden="false" customHeight="true" outlineLevel="0" collapsed="false">
      <c r="A7" s="4" t="s">
        <v>33</v>
      </c>
      <c r="B7" s="9" t="s">
        <v>865</v>
      </c>
      <c r="C7" s="5" t="s">
        <v>868</v>
      </c>
    </row>
    <row r="8" customFormat="false" ht="30" hidden="false" customHeight="true" outlineLevel="0" collapsed="false">
      <c r="A8" s="4" t="s">
        <v>34</v>
      </c>
      <c r="B8" s="13" t="s">
        <v>869</v>
      </c>
      <c r="C8" s="43" t="s">
        <v>870</v>
      </c>
    </row>
    <row r="9" customFormat="false" ht="30" hidden="false" customHeight="true" outlineLevel="0" collapsed="false">
      <c r="A9" s="4" t="s">
        <v>35</v>
      </c>
      <c r="B9" s="9" t="s">
        <v>871</v>
      </c>
      <c r="C9" s="5" t="s">
        <v>872</v>
      </c>
    </row>
    <row r="10" customFormat="false" ht="30" hidden="false" customHeight="true" outlineLevel="0" collapsed="false">
      <c r="A10" s="4" t="s">
        <v>36</v>
      </c>
      <c r="B10" s="13" t="s">
        <v>865</v>
      </c>
      <c r="C10" s="43" t="s">
        <v>873</v>
      </c>
    </row>
    <row r="11" customFormat="false" ht="30" hidden="false" customHeight="true" outlineLevel="0" collapsed="false">
      <c r="A11" s="4" t="s">
        <v>37</v>
      </c>
      <c r="B11" s="9" t="s">
        <v>865</v>
      </c>
      <c r="C11" s="5" t="s">
        <v>874</v>
      </c>
    </row>
    <row r="12" customFormat="false" ht="30" hidden="false" customHeight="true" outlineLevel="0" collapsed="false">
      <c r="A12" s="4" t="s">
        <v>38</v>
      </c>
      <c r="B12" s="13" t="s">
        <v>865</v>
      </c>
      <c r="C12" s="43" t="s">
        <v>875</v>
      </c>
    </row>
    <row r="13" customFormat="false" ht="30" hidden="false" customHeight="true" outlineLevel="0" collapsed="false">
      <c r="A13" s="4" t="s">
        <v>39</v>
      </c>
      <c r="B13" s="9" t="s">
        <v>865</v>
      </c>
      <c r="C13" s="5" t="s">
        <v>876</v>
      </c>
    </row>
    <row r="14" customFormat="false" ht="30" hidden="false" customHeight="true" outlineLevel="0" collapsed="false">
      <c r="A14" s="4" t="s">
        <v>40</v>
      </c>
      <c r="B14" s="13" t="s">
        <v>865</v>
      </c>
      <c r="C14" s="43" t="s">
        <v>877</v>
      </c>
    </row>
    <row r="15" customFormat="false" ht="30" hidden="false" customHeight="true" outlineLevel="0" collapsed="false">
      <c r="A15" s="4" t="s">
        <v>41</v>
      </c>
      <c r="B15" s="9" t="s">
        <v>865</v>
      </c>
      <c r="C15" s="5" t="s">
        <v>878</v>
      </c>
    </row>
    <row r="16" customFormat="false" ht="30" hidden="false" customHeight="true" outlineLevel="0" collapsed="false">
      <c r="A16" s="4" t="s">
        <v>879</v>
      </c>
      <c r="B16" s="13" t="s">
        <v>880</v>
      </c>
      <c r="C16" s="43" t="s">
        <v>881</v>
      </c>
    </row>
    <row r="17" customFormat="false" ht="30" hidden="false" customHeight="true" outlineLevel="0" collapsed="false">
      <c r="A17" s="4" t="s">
        <v>882</v>
      </c>
      <c r="B17" s="9" t="s">
        <v>880</v>
      </c>
      <c r="C17" s="5" t="s">
        <v>883</v>
      </c>
    </row>
    <row r="18" customFormat="false" ht="30" hidden="false" customHeight="true" outlineLevel="0" collapsed="false">
      <c r="A18" s="4" t="s">
        <v>50</v>
      </c>
      <c r="B18" s="13" t="s">
        <v>865</v>
      </c>
      <c r="C18" s="43" t="s">
        <v>884</v>
      </c>
    </row>
    <row r="19" customFormat="false" ht="30" hidden="false" customHeight="true" outlineLevel="0" collapsed="false">
      <c r="A19" s="4" t="s">
        <v>51</v>
      </c>
      <c r="B19" s="9" t="s">
        <v>885</v>
      </c>
      <c r="C19" s="5" t="s">
        <v>886</v>
      </c>
    </row>
    <row r="20" customFormat="false" ht="30" hidden="false" customHeight="true" outlineLevel="0" collapsed="false">
      <c r="A20" s="4" t="s">
        <v>52</v>
      </c>
      <c r="B20" s="13" t="s">
        <v>885</v>
      </c>
      <c r="C20" s="43" t="s">
        <v>887</v>
      </c>
    </row>
    <row r="21" customFormat="false" ht="30" hidden="false" customHeight="true" outlineLevel="0" collapsed="false">
      <c r="A21" s="4" t="s">
        <v>888</v>
      </c>
      <c r="B21" s="9" t="s">
        <v>889</v>
      </c>
      <c r="C21" s="5" t="s">
        <v>890</v>
      </c>
    </row>
    <row r="22" customFormat="false" ht="30" hidden="false" customHeight="true" outlineLevel="0" collapsed="false">
      <c r="A22" s="4" t="s">
        <v>891</v>
      </c>
      <c r="B22" s="13" t="s">
        <v>892</v>
      </c>
      <c r="C22" s="43" t="s">
        <v>893</v>
      </c>
    </row>
    <row r="23" customFormat="false" ht="30" hidden="false" customHeight="true" outlineLevel="0" collapsed="false">
      <c r="A23" s="4" t="s">
        <v>58</v>
      </c>
      <c r="B23" s="9" t="s">
        <v>892</v>
      </c>
      <c r="C23" s="5" t="s">
        <v>894</v>
      </c>
    </row>
    <row r="24" customFormat="false" ht="30" hidden="false" customHeight="true" outlineLevel="0" collapsed="false">
      <c r="A24" s="4" t="s">
        <v>59</v>
      </c>
      <c r="B24" s="13" t="s">
        <v>869</v>
      </c>
      <c r="C24" s="43" t="s">
        <v>895</v>
      </c>
    </row>
    <row r="25" customFormat="false" ht="30" hidden="false" customHeight="true" outlineLevel="0" collapsed="false">
      <c r="A25" s="4" t="s">
        <v>896</v>
      </c>
      <c r="B25" s="9" t="s">
        <v>869</v>
      </c>
      <c r="C25" s="5" t="s">
        <v>897</v>
      </c>
    </row>
    <row r="26" customFormat="false" ht="30" hidden="false" customHeight="true" outlineLevel="0" collapsed="false">
      <c r="A26" s="4" t="s">
        <v>61</v>
      </c>
      <c r="B26" s="13" t="s">
        <v>892</v>
      </c>
      <c r="C26" s="43" t="s">
        <v>898</v>
      </c>
    </row>
    <row r="27" customFormat="false" ht="30" hidden="false" customHeight="true" outlineLevel="0" collapsed="false">
      <c r="A27" s="4" t="s">
        <v>62</v>
      </c>
      <c r="B27" s="9" t="s">
        <v>892</v>
      </c>
      <c r="C27" s="5" t="s">
        <v>899</v>
      </c>
    </row>
    <row r="28" customFormat="false" ht="30" hidden="false" customHeight="true" outlineLevel="0" collapsed="false">
      <c r="A28" s="4" t="s">
        <v>63</v>
      </c>
      <c r="B28" s="13" t="s">
        <v>900</v>
      </c>
      <c r="C28" s="43" t="s">
        <v>901</v>
      </c>
    </row>
    <row r="29" customFormat="false" ht="30" hidden="false" customHeight="true" outlineLevel="0" collapsed="false">
      <c r="A29" s="4" t="s">
        <v>64</v>
      </c>
      <c r="B29" s="9" t="s">
        <v>902</v>
      </c>
      <c r="C29" s="5" t="s">
        <v>903</v>
      </c>
    </row>
    <row r="30" customFormat="false" ht="30" hidden="false" customHeight="true" outlineLevel="0" collapsed="false">
      <c r="A30" s="4" t="s">
        <v>65</v>
      </c>
      <c r="B30" s="13" t="s">
        <v>865</v>
      </c>
      <c r="C30" s="43" t="s">
        <v>904</v>
      </c>
    </row>
    <row r="31" customFormat="false" ht="30" hidden="false" customHeight="true" outlineLevel="0" collapsed="false">
      <c r="A31" s="4" t="s">
        <v>66</v>
      </c>
      <c r="B31" s="9" t="s">
        <v>869</v>
      </c>
      <c r="C31" s="5" t="s">
        <v>905</v>
      </c>
    </row>
    <row r="35" customFormat="false" ht="15" hidden="false" customHeight="true" outlineLevel="0" collapsed="false">
      <c r="A35" s="1" t="s">
        <v>906</v>
      </c>
      <c r="B35" s="1"/>
      <c r="C35" s="1"/>
    </row>
    <row r="36" customFormat="false" ht="15" hidden="false" customHeight="false" outlineLevel="0" collapsed="false">
      <c r="A36" s="29" t="s">
        <v>907</v>
      </c>
      <c r="B36" s="29" t="s">
        <v>908</v>
      </c>
      <c r="C36" s="29" t="s">
        <v>909</v>
      </c>
    </row>
    <row r="37" customFormat="false" ht="30" hidden="false" customHeight="true" outlineLevel="0" collapsed="false">
      <c r="A37" s="30" t="n">
        <v>5</v>
      </c>
      <c r="B37" s="9" t="s">
        <v>910</v>
      </c>
      <c r="C37" s="5" t="s">
        <v>911</v>
      </c>
    </row>
    <row r="38" customFormat="false" ht="30" hidden="false" customHeight="true" outlineLevel="0" collapsed="false">
      <c r="A38" s="44" t="n">
        <v>4</v>
      </c>
      <c r="B38" s="13" t="s">
        <v>912</v>
      </c>
      <c r="C38" s="43" t="s">
        <v>913</v>
      </c>
    </row>
    <row r="39" customFormat="false" ht="30" hidden="false" customHeight="true" outlineLevel="0" collapsed="false">
      <c r="A39" s="30" t="n">
        <v>3</v>
      </c>
      <c r="B39" s="9" t="s">
        <v>914</v>
      </c>
      <c r="C39" s="5" t="s">
        <v>915</v>
      </c>
    </row>
    <row r="40" customFormat="false" ht="30" hidden="false" customHeight="true" outlineLevel="0" collapsed="false">
      <c r="A40" s="44" t="n">
        <v>2</v>
      </c>
      <c r="B40" s="13" t="s">
        <v>916</v>
      </c>
      <c r="C40" s="43" t="s">
        <v>917</v>
      </c>
    </row>
    <row r="41" customFormat="false" ht="30" hidden="false" customHeight="true" outlineLevel="0" collapsed="false">
      <c r="A41" s="30" t="n">
        <v>1</v>
      </c>
      <c r="B41" s="9" t="s">
        <v>918</v>
      </c>
      <c r="C41" s="5" t="s">
        <v>919</v>
      </c>
    </row>
    <row r="43" customFormat="false" ht="15" hidden="false" customHeight="true" outlineLevel="0" collapsed="false">
      <c r="A43" s="1" t="s">
        <v>920</v>
      </c>
      <c r="B43" s="1"/>
      <c r="C43" s="1"/>
    </row>
    <row r="44" customFormat="false" ht="15" hidden="false" customHeight="false" outlineLevel="0" collapsed="false">
      <c r="A44" s="29" t="s">
        <v>907</v>
      </c>
      <c r="B44" s="29" t="s">
        <v>908</v>
      </c>
      <c r="C44" s="29" t="s">
        <v>909</v>
      </c>
    </row>
    <row r="45" customFormat="false" ht="31.5" hidden="false" customHeight="true" outlineLevel="0" collapsed="false">
      <c r="A45" s="30" t="n">
        <v>5</v>
      </c>
      <c r="B45" s="9" t="s">
        <v>921</v>
      </c>
      <c r="C45" s="5" t="s">
        <v>922</v>
      </c>
    </row>
    <row r="46" customFormat="false" ht="31.5" hidden="false" customHeight="true" outlineLevel="0" collapsed="false">
      <c r="A46" s="44" t="n">
        <v>4</v>
      </c>
      <c r="B46" s="13" t="s">
        <v>923</v>
      </c>
      <c r="C46" s="43" t="s">
        <v>924</v>
      </c>
    </row>
    <row r="47" customFormat="false" ht="31.5" hidden="false" customHeight="true" outlineLevel="0" collapsed="false">
      <c r="A47" s="30" t="n">
        <v>3</v>
      </c>
      <c r="B47" s="9" t="s">
        <v>925</v>
      </c>
      <c r="C47" s="5" t="s">
        <v>926</v>
      </c>
    </row>
    <row r="48" customFormat="false" ht="31.5" hidden="false" customHeight="true" outlineLevel="0" collapsed="false">
      <c r="A48" s="44" t="n">
        <v>2</v>
      </c>
      <c r="B48" s="13" t="s">
        <v>927</v>
      </c>
      <c r="C48" s="43" t="s">
        <v>928</v>
      </c>
    </row>
    <row r="49" customFormat="false" ht="31.5" hidden="false" customHeight="true" outlineLevel="0" collapsed="false">
      <c r="A49" s="30" t="n">
        <v>1</v>
      </c>
      <c r="B49" s="9" t="s">
        <v>929</v>
      </c>
      <c r="C49" s="5" t="s">
        <v>930</v>
      </c>
    </row>
    <row r="51" customFormat="false" ht="15" hidden="false" customHeight="true" outlineLevel="0" collapsed="false">
      <c r="A51" s="1" t="s">
        <v>931</v>
      </c>
      <c r="B51" s="1"/>
      <c r="C51" s="1"/>
    </row>
    <row r="52" customFormat="false" ht="15" hidden="false" customHeight="false" outlineLevel="0" collapsed="false">
      <c r="A52" s="29" t="s">
        <v>838</v>
      </c>
      <c r="B52" s="29" t="s">
        <v>932</v>
      </c>
      <c r="C52" s="29" t="s">
        <v>933</v>
      </c>
    </row>
    <row r="53" customFormat="false" ht="49.5" hidden="false" customHeight="true" outlineLevel="0" collapsed="false">
      <c r="A53" s="25" t="s">
        <v>78</v>
      </c>
      <c r="B53" s="45" t="s">
        <v>934</v>
      </c>
      <c r="C53" s="5" t="s">
        <v>935</v>
      </c>
    </row>
    <row r="54" customFormat="false" ht="49.5" hidden="false" customHeight="true" outlineLevel="0" collapsed="false">
      <c r="A54" s="26" t="s">
        <v>144</v>
      </c>
      <c r="B54" s="45" t="s">
        <v>936</v>
      </c>
      <c r="C54" s="5" t="s">
        <v>937</v>
      </c>
    </row>
    <row r="55" customFormat="false" ht="49.5" hidden="false" customHeight="true" outlineLevel="0" collapsed="false">
      <c r="A55" s="27" t="s">
        <v>83</v>
      </c>
      <c r="B55" s="45" t="s">
        <v>938</v>
      </c>
      <c r="C55" s="5" t="s">
        <v>939</v>
      </c>
    </row>
    <row r="56" customFormat="false" ht="49.5" hidden="false" customHeight="true" outlineLevel="0" collapsed="false">
      <c r="A56" s="28" t="s">
        <v>278</v>
      </c>
      <c r="B56" s="45" t="s">
        <v>940</v>
      </c>
      <c r="C56" s="5" t="s">
        <v>941</v>
      </c>
    </row>
    <row r="58" customFormat="false" ht="15" hidden="false" customHeight="true" outlineLevel="0" collapsed="false">
      <c r="A58" s="1" t="s">
        <v>942</v>
      </c>
      <c r="B58" s="1"/>
      <c r="C58" s="1"/>
    </row>
    <row r="59" customFormat="false" ht="15" hidden="false" customHeight="false" outlineLevel="0" collapsed="false">
      <c r="A59" s="29" t="s">
        <v>943</v>
      </c>
      <c r="B59" s="29" t="s">
        <v>909</v>
      </c>
      <c r="C59" s="29" t="s">
        <v>944</v>
      </c>
    </row>
    <row r="60" customFormat="false" ht="49.5" hidden="false" customHeight="true" outlineLevel="0" collapsed="false">
      <c r="A60" s="19" t="s">
        <v>945</v>
      </c>
      <c r="B60" s="5" t="s">
        <v>946</v>
      </c>
      <c r="C60" s="5" t="s">
        <v>947</v>
      </c>
    </row>
    <row r="61" customFormat="false" ht="49.5" hidden="false" customHeight="true" outlineLevel="0" collapsed="false">
      <c r="A61" s="19" t="s">
        <v>850</v>
      </c>
      <c r="B61" s="43" t="s">
        <v>948</v>
      </c>
      <c r="C61" s="43" t="s">
        <v>949</v>
      </c>
    </row>
    <row r="62" customFormat="false" ht="49.5" hidden="false" customHeight="true" outlineLevel="0" collapsed="false">
      <c r="A62" s="19" t="s">
        <v>852</v>
      </c>
      <c r="B62" s="5" t="s">
        <v>950</v>
      </c>
      <c r="C62" s="5" t="s">
        <v>951</v>
      </c>
    </row>
    <row r="63" customFormat="false" ht="49.5" hidden="false" customHeight="true" outlineLevel="0" collapsed="false">
      <c r="A63" s="19" t="s">
        <v>853</v>
      </c>
      <c r="B63" s="43" t="s">
        <v>952</v>
      </c>
      <c r="C63" s="43" t="s">
        <v>953</v>
      </c>
    </row>
  </sheetData>
  <mergeCells count="6">
    <mergeCell ref="A1:C1"/>
    <mergeCell ref="A3:C3"/>
    <mergeCell ref="A35:C35"/>
    <mergeCell ref="A43:C43"/>
    <mergeCell ref="A51:C51"/>
    <mergeCell ref="A58:C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2026-05-10T03:35:53Z</dcterms:created>
  <dc:creator>openpyxl</dc:creator>
  <dc:description/>
  <dc:language>en-US</dc:language>
  <cp:lastModifiedBy/>
  <dcterms:modified xsi:type="dcterms:W3CDTF">2026-05-10T03:35:53Z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